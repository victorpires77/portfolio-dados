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slicers/slicer1.xml" ContentType="application/vnd.ms-excel.slicer+xml"/>
  <Override PartName="/xl/drawings/drawing3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slicers/slicer2.xml" ContentType="application/vnd.ms-excel.slicer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5.xml" ContentType="application/vnd.openxmlformats-officedocument.drawing+xml"/>
  <Override PartName="/xl/slicers/slicer3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G:\Meu Drive\Projeto - Fluxo de Caixa no Excel\"/>
    </mc:Choice>
  </mc:AlternateContent>
  <xr:revisionPtr revIDLastSave="0" documentId="13_ncr:1_{1861AF31-3409-45B9-A8FE-920D61F745E7}" xr6:coauthVersionLast="47" xr6:coauthVersionMax="47" xr10:uidLastSave="{00000000-0000-0000-0000-000000000000}"/>
  <bookViews>
    <workbookView xWindow="-120" yWindow="-120" windowWidth="20730" windowHeight="11040" activeTab="1" xr2:uid="{27CCDCF6-9DAD-4E94-833D-F7C51750931C}"/>
  </bookViews>
  <sheets>
    <sheet name="Cadastro" sheetId="4" r:id="rId1"/>
    <sheet name="Pessoal" sheetId="1" r:id="rId2"/>
    <sheet name="Empresa" sheetId="6" r:id="rId3"/>
    <sheet name="Dashboard Empresa" sheetId="3" r:id="rId4"/>
    <sheet name="Dashboard Pessoal" sheetId="8" r:id="rId5"/>
  </sheets>
  <definedNames>
    <definedName name="NativeTimeline_Data1">#N/A</definedName>
    <definedName name="SegmentaçãodeDados_Forma_de_Pagamento1">#N/A</definedName>
    <definedName name="SegmentaçãodeDados_Mês">#N/A</definedName>
    <definedName name="SegmentaçãodeDados_Mês1">#N/A</definedName>
    <definedName name="SegmentaçãodeDados_Mês2">#N/A</definedName>
    <definedName name="SegmentaçãodeDados_Status">#N/A</definedName>
    <definedName name="SegmentaçãodeDados_Status1">#N/A</definedName>
    <definedName name="SegmentaçãodeDados_Tipo">#N/A</definedName>
    <definedName name="SegmentaçãodeDados_Tipo1">#N/A</definedName>
  </definedNames>
  <calcPr calcId="191029"/>
  <pivotCaches>
    <pivotCache cacheId="77" r:id="rId6"/>
    <pivotCache cacheId="84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46BE6895-7355-4a93-B00E-2C351335B9C9}">
      <x15:slicerCaches xmlns:x14="http://schemas.microsoft.com/office/spreadsheetml/2009/9/main"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1" i="8" l="1"/>
  <c r="B20" i="8"/>
  <c r="B22" i="8" s="1"/>
  <c r="B10" i="1"/>
  <c r="B18" i="3"/>
  <c r="B17" i="3"/>
  <c r="B19" i="3" s="1"/>
  <c r="B8" i="6"/>
  <c r="B5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390" i="6"/>
  <c r="K391" i="6"/>
  <c r="K392" i="6"/>
  <c r="K393" i="6"/>
  <c r="K394" i="6"/>
  <c r="K395" i="6"/>
  <c r="K396" i="6"/>
  <c r="K397" i="6"/>
  <c r="K398" i="6"/>
  <c r="K399" i="6"/>
  <c r="K400" i="6"/>
  <c r="K401" i="6"/>
  <c r="K402" i="6"/>
  <c r="K403" i="6"/>
  <c r="K404" i="6"/>
  <c r="K405" i="6"/>
  <c r="K406" i="6"/>
  <c r="K407" i="6"/>
  <c r="K408" i="6"/>
  <c r="K409" i="6"/>
  <c r="K410" i="6"/>
  <c r="K411" i="6"/>
  <c r="K412" i="6"/>
  <c r="K413" i="6"/>
  <c r="K414" i="6"/>
  <c r="K415" i="6"/>
  <c r="K416" i="6"/>
  <c r="K417" i="6"/>
  <c r="K418" i="6"/>
  <c r="K419" i="6"/>
  <c r="K420" i="6"/>
  <c r="K421" i="6"/>
  <c r="K422" i="6"/>
  <c r="K423" i="6"/>
  <c r="K424" i="6"/>
  <c r="K425" i="6"/>
  <c r="K426" i="6"/>
  <c r="K427" i="6"/>
  <c r="K428" i="6"/>
  <c r="K429" i="6"/>
  <c r="K430" i="6"/>
  <c r="K431" i="6"/>
  <c r="K432" i="6"/>
  <c r="K433" i="6"/>
  <c r="K434" i="6"/>
  <c r="K435" i="6"/>
  <c r="K436" i="6"/>
  <c r="K437" i="6"/>
  <c r="K438" i="6"/>
  <c r="K439" i="6"/>
  <c r="K440" i="6"/>
  <c r="K441" i="6"/>
  <c r="K442" i="6"/>
  <c r="K443" i="6"/>
  <c r="K444" i="6"/>
  <c r="K445" i="6"/>
  <c r="K446" i="6"/>
  <c r="K447" i="6"/>
  <c r="K448" i="6"/>
  <c r="K449" i="6"/>
  <c r="K450" i="6"/>
  <c r="K451" i="6"/>
  <c r="K452" i="6"/>
  <c r="K453" i="6"/>
  <c r="K454" i="6"/>
  <c r="K455" i="6"/>
  <c r="K456" i="6"/>
  <c r="K457" i="6"/>
  <c r="K458" i="6"/>
  <c r="K459" i="6"/>
  <c r="K460" i="6"/>
  <c r="K461" i="6"/>
  <c r="K462" i="6"/>
  <c r="K463" i="6"/>
  <c r="K464" i="6"/>
  <c r="K465" i="6"/>
  <c r="K466" i="6"/>
  <c r="K467" i="6"/>
  <c r="K468" i="6"/>
  <c r="K469" i="6"/>
  <c r="K470" i="6"/>
  <c r="K471" i="6"/>
  <c r="K472" i="6"/>
  <c r="K473" i="6"/>
  <c r="K474" i="6"/>
  <c r="K475" i="6"/>
  <c r="K476" i="6"/>
  <c r="K477" i="6"/>
  <c r="K478" i="6"/>
  <c r="K479" i="6"/>
  <c r="K480" i="6"/>
  <c r="K481" i="6"/>
  <c r="K482" i="6"/>
  <c r="K483" i="6"/>
  <c r="K484" i="6"/>
  <c r="K485" i="6"/>
  <c r="K486" i="6"/>
  <c r="K487" i="6"/>
  <c r="K488" i="6"/>
  <c r="K489" i="6"/>
  <c r="K490" i="6"/>
  <c r="K491" i="6"/>
  <c r="K492" i="6"/>
  <c r="K493" i="6"/>
  <c r="K494" i="6"/>
  <c r="K495" i="6"/>
  <c r="K496" i="6"/>
  <c r="K497" i="6"/>
  <c r="K498" i="6"/>
  <c r="K499" i="6"/>
  <c r="K500" i="6"/>
  <c r="K501" i="6"/>
  <c r="K502" i="6"/>
  <c r="K503" i="6"/>
  <c r="K504" i="6"/>
  <c r="K505" i="6"/>
  <c r="K506" i="6"/>
  <c r="K507" i="6"/>
  <c r="K508" i="6"/>
  <c r="K509" i="6"/>
  <c r="K510" i="6"/>
  <c r="K511" i="6"/>
  <c r="K512" i="6"/>
  <c r="K513" i="6"/>
  <c r="K514" i="6"/>
  <c r="K515" i="6"/>
  <c r="K516" i="6"/>
  <c r="K517" i="6"/>
  <c r="K518" i="6"/>
  <c r="K519" i="6"/>
  <c r="K520" i="6"/>
  <c r="K521" i="6"/>
  <c r="K522" i="6"/>
  <c r="K523" i="6"/>
  <c r="K524" i="6"/>
  <c r="K525" i="6"/>
  <c r="K526" i="6"/>
  <c r="K527" i="6"/>
  <c r="K528" i="6"/>
  <c r="K529" i="6"/>
  <c r="K530" i="6"/>
  <c r="K531" i="6"/>
  <c r="K532" i="6"/>
  <c r="K533" i="6"/>
  <c r="K534" i="6"/>
  <c r="K535" i="6"/>
  <c r="K536" i="6"/>
  <c r="K537" i="6"/>
  <c r="K538" i="6"/>
  <c r="K539" i="6"/>
  <c r="K540" i="6"/>
  <c r="K541" i="6"/>
  <c r="K542" i="6"/>
  <c r="K543" i="6"/>
  <c r="K544" i="6"/>
  <c r="K545" i="6"/>
  <c r="K546" i="6"/>
  <c r="K547" i="6"/>
  <c r="K548" i="6"/>
  <c r="K549" i="6"/>
  <c r="K550" i="6"/>
  <c r="K551" i="6"/>
  <c r="K552" i="6"/>
  <c r="K553" i="6"/>
  <c r="K554" i="6"/>
  <c r="K555" i="6"/>
  <c r="K556" i="6"/>
  <c r="K557" i="6"/>
  <c r="K558" i="6"/>
  <c r="K559" i="6"/>
  <c r="K560" i="6"/>
  <c r="K561" i="6"/>
  <c r="K562" i="6"/>
  <c r="K563" i="6"/>
  <c r="K564" i="6"/>
  <c r="K565" i="6"/>
  <c r="K566" i="6"/>
  <c r="K567" i="6"/>
  <c r="K568" i="6"/>
  <c r="K569" i="6"/>
  <c r="K570" i="6"/>
  <c r="K571" i="6"/>
  <c r="K572" i="6"/>
  <c r="K573" i="6"/>
  <c r="K574" i="6"/>
  <c r="K575" i="6"/>
  <c r="K576" i="6"/>
  <c r="K577" i="6"/>
  <c r="K578" i="6"/>
  <c r="K579" i="6"/>
  <c r="K580" i="6"/>
  <c r="K581" i="6"/>
  <c r="K582" i="6"/>
  <c r="K583" i="6"/>
  <c r="K584" i="6"/>
  <c r="K585" i="6"/>
  <c r="K586" i="6"/>
  <c r="K587" i="6"/>
  <c r="K588" i="6"/>
  <c r="K589" i="6"/>
  <c r="K590" i="6"/>
  <c r="K591" i="6"/>
  <c r="K592" i="6"/>
  <c r="K593" i="6"/>
  <c r="K594" i="6"/>
  <c r="K595" i="6"/>
  <c r="K596" i="6"/>
  <c r="K597" i="6"/>
  <c r="K598" i="6"/>
  <c r="K599" i="6"/>
  <c r="K600" i="6"/>
  <c r="K601" i="6"/>
  <c r="K602" i="6"/>
  <c r="K603" i="6"/>
  <c r="K604" i="6"/>
  <c r="K605" i="6"/>
  <c r="K606" i="6"/>
  <c r="K607" i="6"/>
  <c r="K608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K10" i="1"/>
  <c r="K11" i="1"/>
  <c r="K12" i="1"/>
  <c r="K13" i="1"/>
  <c r="K14" i="1"/>
  <c r="K15" i="1"/>
  <c r="K16" i="1"/>
  <c r="K17" i="1"/>
  <c r="K18" i="1"/>
  <c r="K19" i="1"/>
  <c r="K20" i="1"/>
  <c r="K21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D6" i="1"/>
  <c r="B6" i="1"/>
  <c r="B6" i="6"/>
  <c r="B7" i="6"/>
  <c r="B7" i="1"/>
  <c r="B8" i="1"/>
  <c r="D7" i="1" s="1"/>
  <c r="P21" i="1" l="1"/>
  <c r="P20" i="1"/>
  <c r="P19" i="1"/>
  <c r="P18" i="1"/>
  <c r="P17" i="1"/>
  <c r="P16" i="1"/>
  <c r="P15" i="1"/>
  <c r="P14" i="1"/>
  <c r="P13" i="1"/>
  <c r="P12" i="1"/>
  <c r="P10" i="1"/>
  <c r="P11" i="1"/>
  <c r="O21" i="1"/>
  <c r="Q21" i="1" s="1"/>
  <c r="O20" i="1"/>
  <c r="Q20" i="1" s="1"/>
  <c r="O19" i="1"/>
  <c r="Q19" i="1" s="1"/>
  <c r="O18" i="1"/>
  <c r="Q18" i="1" s="1"/>
  <c r="O17" i="1"/>
  <c r="Q17" i="1" s="1"/>
  <c r="O16" i="1"/>
  <c r="Q16" i="1" s="1"/>
  <c r="O15" i="1"/>
  <c r="Q15" i="1" s="1"/>
  <c r="O14" i="1"/>
  <c r="Q14" i="1" s="1"/>
  <c r="O13" i="1"/>
  <c r="Q13" i="1" s="1"/>
  <c r="O12" i="1"/>
  <c r="Q12" i="1" s="1"/>
  <c r="O10" i="1"/>
  <c r="Q10" i="1" s="1"/>
  <c r="O11" i="1"/>
  <c r="Q11" i="1" s="1"/>
  <c r="P21" i="6"/>
  <c r="P20" i="6"/>
  <c r="P19" i="6"/>
  <c r="P18" i="6"/>
  <c r="P17" i="6"/>
  <c r="P16" i="6"/>
  <c r="P15" i="6"/>
  <c r="P14" i="6"/>
  <c r="P13" i="6"/>
  <c r="P12" i="6"/>
  <c r="P10" i="6"/>
  <c r="P11" i="6"/>
  <c r="O21" i="6"/>
  <c r="Q21" i="6" s="1"/>
  <c r="O20" i="6"/>
  <c r="Q20" i="6" s="1"/>
  <c r="O19" i="6"/>
  <c r="Q19" i="6" s="1"/>
  <c r="O18" i="6"/>
  <c r="Q18" i="6" s="1"/>
  <c r="O17" i="6"/>
  <c r="Q17" i="6" s="1"/>
  <c r="O16" i="6"/>
  <c r="Q16" i="6" s="1"/>
  <c r="O15" i="6"/>
  <c r="Q15" i="6" s="1"/>
  <c r="O14" i="6"/>
  <c r="Q14" i="6" s="1"/>
  <c r="O13" i="6"/>
  <c r="Q13" i="6" s="1"/>
  <c r="O12" i="6"/>
  <c r="Q12" i="6" s="1"/>
  <c r="O10" i="6"/>
  <c r="Q10" i="6" s="1"/>
  <c r="O11" i="6"/>
  <c r="Q11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DC50033-647B-49C0-B5D8-DBAE51192CB8}" keepAlive="1" interval="1" name="Consulta - Tabela2" description="Conexão com a consulta 'Tabela2' na pasta de trabalho." type="5" refreshedVersion="8" background="1" saveData="1">
    <dbPr connection="Provider=Microsoft.Mashup.OleDb.1;Data Source=$Workbook$;Location=Tabela2;Extended Properties=&quot;&quot;" command="SELECT * FROM [Tabela2]"/>
  </connection>
</connections>
</file>

<file path=xl/sharedStrings.xml><?xml version="1.0" encoding="utf-8"?>
<sst xmlns="http://schemas.openxmlformats.org/spreadsheetml/2006/main" count="244" uniqueCount="148">
  <si>
    <t>Data</t>
  </si>
  <si>
    <t>Descrição</t>
  </si>
  <si>
    <t>Categoria</t>
  </si>
  <si>
    <t>Tipo</t>
  </si>
  <si>
    <t>Valor (R$)</t>
  </si>
  <si>
    <t>Observações</t>
  </si>
  <si>
    <t>Mês</t>
  </si>
  <si>
    <t>Rótulos de Coluna</t>
  </si>
  <si>
    <t>Soma de Valor (R$)</t>
  </si>
  <si>
    <t>Entrada</t>
  </si>
  <si>
    <t>Saída</t>
  </si>
  <si>
    <t>Semana</t>
  </si>
  <si>
    <t>Rótulos de Linha</t>
  </si>
  <si>
    <t>Pix</t>
  </si>
  <si>
    <t>Dinheiro</t>
  </si>
  <si>
    <t>Cartão de Crédito</t>
  </si>
  <si>
    <t>Boleto</t>
  </si>
  <si>
    <t>Total Entradas</t>
  </si>
  <si>
    <t>Total Saídas</t>
  </si>
  <si>
    <t>Total Saldo Disponível</t>
  </si>
  <si>
    <t xml:space="preserve">TIPO </t>
  </si>
  <si>
    <t xml:space="preserve">CATEGORIA </t>
  </si>
  <si>
    <t>Vendas (Produtos)</t>
  </si>
  <si>
    <t>Vendas (Serviços)</t>
  </si>
  <si>
    <t>Recebimento de Clientes</t>
  </si>
  <si>
    <t xml:space="preserve">Juros Recebidos </t>
  </si>
  <si>
    <t xml:space="preserve">Outros Recebimentos </t>
  </si>
  <si>
    <t>Fornecedores/Compras</t>
  </si>
  <si>
    <t>Folha de Pagamento</t>
  </si>
  <si>
    <t xml:space="preserve">Encargos / INSS / FGTS </t>
  </si>
  <si>
    <t>Contador / Honorários</t>
  </si>
  <si>
    <t xml:space="preserve">Marketing / Publicidade </t>
  </si>
  <si>
    <t xml:space="preserve">Internet / Telefonia </t>
  </si>
  <si>
    <t xml:space="preserve">Transportes / Entegas </t>
  </si>
  <si>
    <t xml:space="preserve">Manutenção / Equipamentos </t>
  </si>
  <si>
    <t xml:space="preserve">Energia / Água / Aluguel </t>
  </si>
  <si>
    <t>Impostos (Simples Nacional, DAS etc)</t>
  </si>
  <si>
    <t xml:space="preserve">Taxas bancárias / Maquininha </t>
  </si>
  <si>
    <t>Licenças e Assinaturas ( sistemas, software)</t>
  </si>
  <si>
    <t xml:space="preserve">Retirada dos Sócios </t>
  </si>
  <si>
    <t xml:space="preserve">Cartão de Débito </t>
  </si>
  <si>
    <t xml:space="preserve">Transferência Bancária </t>
  </si>
  <si>
    <t>Depósito</t>
  </si>
  <si>
    <t>Conta Digital</t>
  </si>
  <si>
    <t xml:space="preserve">Saldo em conta corrente </t>
  </si>
  <si>
    <t>Crédito loja / Carnê</t>
  </si>
  <si>
    <t>Outros</t>
  </si>
  <si>
    <t>Salário</t>
  </si>
  <si>
    <t xml:space="preserve">Renda Extra </t>
  </si>
  <si>
    <t>Reembolso</t>
  </si>
  <si>
    <t>Investimentos (Rendimentos)</t>
  </si>
  <si>
    <t>Empréstimos Recebidos</t>
  </si>
  <si>
    <t xml:space="preserve">Vendas de Bens </t>
  </si>
  <si>
    <t>Aluguel / Moradia</t>
  </si>
  <si>
    <t>Água / Luz / Gás</t>
  </si>
  <si>
    <t>Supermercado</t>
  </si>
  <si>
    <t xml:space="preserve">Transporte / Combustível </t>
  </si>
  <si>
    <t xml:space="preserve">Lazer / Restaurantes </t>
  </si>
  <si>
    <t xml:space="preserve">Saúde / Farmácia </t>
  </si>
  <si>
    <t>Educação / Cursos</t>
  </si>
  <si>
    <t>Assinaturas (Netflix, Spotify, etc)</t>
  </si>
  <si>
    <t>Presentes / Doações</t>
  </si>
  <si>
    <t>Impostos / Taxas</t>
  </si>
  <si>
    <t>Investimentos / Poupança</t>
  </si>
  <si>
    <t>STATUS</t>
  </si>
  <si>
    <t xml:space="preserve">Status </t>
  </si>
  <si>
    <t>CADASTRO - MOVIMENTAÇÕES PESSOAIS</t>
  </si>
  <si>
    <t>CADASTRO - MOVIMENTAÇÕES PARA EMPRESAS</t>
  </si>
  <si>
    <t>Pago</t>
  </si>
  <si>
    <t>Pendente</t>
  </si>
  <si>
    <t>Recebido</t>
  </si>
  <si>
    <t>Quanto Posso Gastar Por Dia?</t>
  </si>
  <si>
    <t>Data de Vencimento</t>
  </si>
  <si>
    <t>Qtd de Dias p Vencer</t>
  </si>
  <si>
    <t>Qtd de Despesas Pendentes</t>
  </si>
  <si>
    <t>SAÍDAS</t>
  </si>
  <si>
    <t>SALDO DISPONÍVEL</t>
  </si>
  <si>
    <t>CATEGORIA</t>
  </si>
  <si>
    <t>Investimentos</t>
  </si>
  <si>
    <t>Maquininha</t>
  </si>
  <si>
    <t>Em Análise</t>
  </si>
  <si>
    <t>(vazio)</t>
  </si>
  <si>
    <t>Vale Refeição</t>
  </si>
  <si>
    <t>Cheque</t>
  </si>
  <si>
    <t>INSTRUÇÕES  PARA USO</t>
  </si>
  <si>
    <t>Saldo Disponível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</si>
  <si>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</si>
  <si>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</si>
  <si>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</si>
  <si>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</si>
  <si>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</si>
  <si>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</si>
  <si>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</si>
  <si>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</si>
  <si>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</si>
  <si>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</si>
  <si>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</si>
  <si>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</si>
  <si>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Internet / casa / celular</t>
  </si>
  <si>
    <t>Venda de Produtos</t>
  </si>
  <si>
    <t>Venda de Serviços</t>
  </si>
  <si>
    <t>Entradas</t>
  </si>
  <si>
    <t>Saídas</t>
  </si>
  <si>
    <t>ENTRADAS</t>
  </si>
  <si>
    <t>Manual de Uso – Modelo de Fluxo de Caixa Diário</t>
  </si>
  <si>
    <t>Objetivo da Planilha</t>
  </si>
  <si>
    <t>Este modelo foi desenvolvido para auxiliar no controle financeiro pessoal e empresarial,</t>
  </si>
  <si>
    <t>permitindo visualizar entradas e saídas de forma prática e dinâmica. Com automações em VBA,</t>
  </si>
  <si>
    <t>ele atualiza suas análises sempre que o arquivo é salvo.</t>
  </si>
  <si>
    <t>1. Aba "Cadastro"</t>
  </si>
  <si>
    <t>Cadastre aqui as informações essenciais para alimentar os formulários:</t>
  </si>
  <si>
    <t>• Categorias (Ex: Alimentação, Transporte, Vendas, Fornecedores)</t>
  </si>
  <si>
    <t>• Formas de Pagamento (Dinheiro, Cartão, Pix etc.)</t>
  </si>
  <si>
    <t>• Status (Paga, Pendente, Recebido, etc.)</t>
  </si>
  <si>
    <t>Instrução: Basta digitar na próxima linha em branco que será incluído automaticamente nas</t>
  </si>
  <si>
    <t>listas suspensas das demais abas.</t>
  </si>
  <si>
    <t>2. Aba "Pessoal"</t>
  </si>
  <si>
    <t>Controle os gastos do seu dia a dia:</t>
  </si>
  <si>
    <t>• Registre as despesas pessoais: semana, descrição, categoria, valor e status.</t>
  </si>
  <si>
    <t>• O campo “Quanto Posso Gastar Por Dia?” calcula automaticamente com base no valor</t>
  </si>
  <si>
    <t>restante e dias do mês.</t>
  </si>
  <si>
    <t>• O número de Despesas Pendentes também é atualizado automaticamente.</t>
  </si>
  <si>
    <t>3. Aba "Empresa"</t>
  </si>
  <si>
    <t>Área para lançamentos de contas a pagar e a receber:</t>
  </si>
  <si>
    <t>• Preencha: data, descrição, tipo (entrada/saída), valor, forma de pagamento e</t>
  </si>
  <si>
    <t>vencimento.</t>
  </si>
  <si>
    <t>• A planilha calcula a quantidade de dias em aberto de forma automática.</t>
  </si>
  <si>
    <t>• Ideal para empresas ou MEIs que precisam ter noção clara do fluxo de caixa.</t>
  </si>
  <si>
    <t>4. Dashboards ("Dashboard Pessoal" e "Dashboard Empresa")</t>
  </si>
  <si>
    <t>• Painéis automáticos com base nos dados das abas anteriores.</t>
  </si>
  <si>
    <t>• Visualização gráfica das entradas x saídas, categorias com maior gasto e saldo atual.</t>
  </si>
  <si>
    <t>• A atualização é feita ao salvar o arquivo, sem necessidade de botão.</t>
  </si>
  <si>
    <t>5. Automação por Macro (VBA)</t>
  </si>
  <si>
    <t>O que a macro faz:</t>
  </si>
  <si>
    <t>• Atualiza todas as Tabelas Dinâmicas ao salvar o arquivo.</t>
  </si>
  <si>
    <t>• Garante que os Dashboards estejam sempre com dados atualizados.</t>
  </si>
  <si>
    <t>Atenção:</t>
  </si>
  <si>
    <t>• Ao abrir ou salvar o arquivo, habilite as macros para que tudo funcione corretamente.</t>
  </si>
  <si>
    <t>• Caso alguma tabela dinâmica esteja com fonte de dados inválida, será necessário</t>
  </si>
  <si>
    <t>corrigir manualmente para evitar erros na macro.</t>
  </si>
  <si>
    <t>Recomendações</t>
  </si>
  <si>
    <t>• Sempre salve o arquivo no formato .xlsm para manter as macros.</t>
  </si>
  <si>
    <t>• Faça backups regularmente.</t>
  </si>
  <si>
    <t>• Evite alterar as células com fórmulas (geralmente destacadas ou protegidas).</t>
  </si>
  <si>
    <t>FORMA DE PAGAMENTO/RECEBIMENTO</t>
  </si>
  <si>
    <t>Forma de Pagamento/Recebimento</t>
  </si>
  <si>
    <t>Mai</t>
  </si>
  <si>
    <t>Venda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</si>
</sst>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164" formatCode="&quot;R$&quot;\ #,##0.00"/>
    <numFmt numFmtId="165" formatCode="&quot;R$&quot;\ #,##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1"/>
      <name val="Rockwell Extra Bold"/>
      <family val="1"/>
    </font>
    <font>
      <sz val="22"/>
      <color theme="1"/>
      <name val="Rockwell Extra Bold"/>
      <family val="1"/>
    </font>
    <font>
      <sz val="20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CF0C6"/>
        <bgColor indexed="64"/>
      </patternFill>
    </fill>
    <fill>
      <patternFill patternType="solid">
        <fgColor rgb="FFFFD0C5"/>
        <bgColor indexed="64"/>
      </patternFill>
    </fill>
    <fill>
      <patternFill patternType="solid">
        <fgColor rgb="FFC5D3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97"/>
        <bgColor indexed="64"/>
      </patternFill>
    </fill>
    <fill>
      <patternFill patternType="solid">
        <fgColor rgb="FFFFB19F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7">
    <xf numFmtId="0" fontId="0" fillId="0" borderId="0" xfId="0"/>
    <xf numFmtId="14" fontId="0" fillId="0" borderId="5" xfId="0" applyNumberForma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164" fontId="2" fillId="3" borderId="0" xfId="0" applyNumberFormat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164" fontId="2" fillId="5" borderId="0" xfId="0" applyNumberFormat="1" applyFont="1" applyFill="1" applyAlignment="1">
      <alignment horizontal="left"/>
    </xf>
    <xf numFmtId="14" fontId="0" fillId="0" borderId="1" xfId="0" applyNumberFormat="1" applyBorder="1" applyAlignment="1">
      <alignment horizontal="center" vertical="center"/>
    </xf>
    <xf numFmtId="14" fontId="0" fillId="0" borderId="5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164" fontId="0" fillId="0" borderId="1" xfId="1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4" fontId="0" fillId="0" borderId="8" xfId="0" applyNumberFormat="1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2" fillId="3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2" fillId="5" borderId="0" xfId="0" applyFont="1" applyFill="1" applyProtection="1">
      <protection locked="0"/>
    </xf>
    <xf numFmtId="0" fontId="0" fillId="0" borderId="0" xfId="0" applyProtection="1">
      <protection locked="0"/>
    </xf>
    <xf numFmtId="0" fontId="0" fillId="2" borderId="0" xfId="0" applyFill="1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/>
    <xf numFmtId="0" fontId="0" fillId="0" borderId="6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14" fontId="0" fillId="0" borderId="6" xfId="0" applyNumberFormat="1" applyBorder="1" applyAlignment="1" applyProtection="1">
      <alignment horizontal="center" vertical="center"/>
      <protection locked="0"/>
    </xf>
    <xf numFmtId="14" fontId="0" fillId="0" borderId="3" xfId="0" applyNumberFormat="1" applyBorder="1" applyAlignment="1" applyProtection="1">
      <alignment horizontal="center" vertical="center"/>
      <protection locked="0"/>
    </xf>
    <xf numFmtId="14" fontId="0" fillId="0" borderId="0" xfId="0" applyNumberFormat="1"/>
    <xf numFmtId="0" fontId="2" fillId="9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165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6" borderId="10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9" borderId="0" xfId="0" applyFont="1" applyFill="1" applyAlignment="1">
      <alignment horizontal="center" vertical="top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4" fontId="2" fillId="3" borderId="0" xfId="0" applyNumberFormat="1" applyFont="1" applyFill="1" applyAlignment="1" applyProtection="1">
      <alignment horizontal="left"/>
      <protection locked="0"/>
    </xf>
    <xf numFmtId="0" fontId="2" fillId="9" borderId="0" xfId="0" applyFont="1" applyFill="1" applyProtection="1">
      <protection locked="0"/>
    </xf>
    <xf numFmtId="164" fontId="2" fillId="4" borderId="0" xfId="0" applyNumberFormat="1" applyFont="1" applyFill="1" applyAlignment="1" applyProtection="1">
      <alignment horizontal="left"/>
      <protection locked="0"/>
    </xf>
    <xf numFmtId="0" fontId="2" fillId="8" borderId="0" xfId="0" applyFont="1" applyFill="1" applyProtection="1">
      <protection locked="0"/>
    </xf>
    <xf numFmtId="164" fontId="2" fillId="5" borderId="0" xfId="0" applyNumberFormat="1" applyFont="1" applyFill="1" applyAlignment="1" applyProtection="1">
      <alignment horizontal="left"/>
      <protection locked="0"/>
    </xf>
    <xf numFmtId="0" fontId="4" fillId="0" borderId="0" xfId="0" applyFont="1" applyAlignment="1" applyProtection="1">
      <alignment vertical="center"/>
      <protection locked="0"/>
    </xf>
    <xf numFmtId="164" fontId="2" fillId="8" borderId="0" xfId="0" applyNumberFormat="1" applyFont="1" applyFill="1" applyAlignment="1">
      <alignment horizontal="left" vertical="center"/>
    </xf>
    <xf numFmtId="0" fontId="2" fillId="9" borderId="0" xfId="0" applyFont="1" applyFill="1" applyAlignment="1">
      <alignment horizontal="left" vertical="center"/>
    </xf>
    <xf numFmtId="164" fontId="0" fillId="0" borderId="1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165" fontId="2" fillId="0" borderId="0" xfId="0" applyNumberFormat="1" applyFont="1" applyProtection="1">
      <protection locked="0"/>
    </xf>
    <xf numFmtId="0" fontId="2" fillId="0" borderId="0" xfId="0" applyFont="1" applyAlignment="1" applyProtection="1">
      <alignment horizontal="center" vertical="center"/>
      <protection locked="0"/>
    </xf>
    <xf numFmtId="165" fontId="2" fillId="0" borderId="0" xfId="0" applyNumberFormat="1" applyFont="1" applyAlignment="1" applyProtection="1">
      <alignment horizontal="center" vertical="center"/>
      <protection locked="0"/>
    </xf>
    <xf numFmtId="14" fontId="2" fillId="0" borderId="7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/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5" fillId="7" borderId="0" xfId="0" applyFont="1" applyFill="1" applyAlignment="1">
      <alignment horizontal="center"/>
    </xf>
    <xf numFmtId="0" fontId="5" fillId="7" borderId="0" xfId="0" applyFont="1" applyFill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left"/>
    </xf>
    <xf numFmtId="0" fontId="0" fillId="0" borderId="0" xfId="0" applyNumberFormat="1"/>
  </cellXfs>
  <cellStyles count="2">
    <cellStyle name="Moeda" xfId="1" builtinId="4"/>
    <cellStyle name="Normal" xfId="0" builtinId="0"/>
  </cellStyles>
  <dxfs count="164">
    <dxf>
      <numFmt numFmtId="165" formatCode="&quot;R$&quot;\ #,##0"/>
    </dxf>
    <dxf>
      <numFmt numFmtId="165" formatCode="&quot;R$&quot;\ #,##0"/>
    </dxf>
    <dxf>
      <numFmt numFmtId="165" formatCode="&quot;R$&quot;\ #,##0"/>
    </dxf>
    <dxf>
      <alignment horizontal="center"/>
    </dxf>
    <dxf>
      <alignment vertical="center"/>
    </dxf>
    <dxf>
      <numFmt numFmtId="165" formatCode="&quot;R$&quot;\ #,##0"/>
    </dxf>
    <dxf>
      <numFmt numFmtId="165" formatCode="&quot;R$&quot;\ #,##0"/>
    </dxf>
    <dxf>
      <numFmt numFmtId="165" formatCode="&quot;R$&quot;\ #,##0"/>
    </dxf>
    <dxf>
      <alignment horizontal="center"/>
    </dxf>
    <dxf>
      <alignment vertical="center"/>
    </dxf>
    <dxf>
      <numFmt numFmtId="165" formatCode="&quot;R$&quot;\ #,##0"/>
    </dxf>
    <dxf>
      <alignment horizontal="center"/>
    </dxf>
    <dxf>
      <alignment vertical="center"/>
    </dxf>
    <dxf>
      <numFmt numFmtId="165" formatCode="&quot;R$&quot;\ #,##0"/>
    </dxf>
    <dxf>
      <alignment horizontal="center"/>
    </dxf>
    <dxf>
      <alignment vertical="center"/>
    </dxf>
    <dxf>
      <numFmt numFmtId="165" formatCode="&quot;R$&quot;\ #,##0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numFmt numFmtId="165" formatCode="&quot;R$&quot;\ #,##0"/>
    </dxf>
    <dxf>
      <numFmt numFmtId="165" formatCode="&quot;R$&quot;\ #,##0"/>
    </dxf>
    <dxf>
      <numFmt numFmtId="165" formatCode="&quot;R$&quot;\ #,##0"/>
    </dxf>
    <dxf>
      <numFmt numFmtId="165" formatCode="&quot;R$&quot;\ #,##0"/>
    </dxf>
    <dxf>
      <numFmt numFmtId="165" formatCode="&quot;R$&quot;\ #,##0"/>
    </dxf>
    <dxf>
      <alignment vertical="center"/>
    </dxf>
    <dxf>
      <alignment horizontal="center"/>
    </dxf>
    <dxf>
      <numFmt numFmtId="165" formatCode="&quot;R$&quot;\ #,##0"/>
    </dxf>
    <dxf>
      <numFmt numFmtId="165" formatCode="&quot;R$&quot;\ #,##0"/>
    </dxf>
    <dxf>
      <numFmt numFmtId="165" formatCode="&quot;R$&quot;\ #,##0"/>
    </dxf>
    <dxf>
      <alignment vertical="center"/>
    </dxf>
    <dxf>
      <alignment horizontal="center"/>
    </dxf>
    <dxf>
      <numFmt numFmtId="165" formatCode="&quot;R$&quot;\ #,##0"/>
    </dxf>
    <dxf>
      <numFmt numFmtId="165" formatCode="&quot;R$&quot;\ #,##0"/>
    </dxf>
    <dxf>
      <numFmt numFmtId="165" formatCode="&quot;R$&quot;\ #,##0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numFmt numFmtId="165" formatCode="&quot;R$&quot;\ #,##0"/>
    </dxf>
    <dxf>
      <alignment vertical="center"/>
    </dxf>
    <dxf>
      <alignment horizontal="center"/>
    </dxf>
    <dxf>
      <numFmt numFmtId="165" formatCode="&quot;R$&quot;\ #,##0"/>
    </dxf>
    <dxf>
      <alignment vertical="center"/>
    </dxf>
    <dxf>
      <alignment horizontal="center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&quot;R$&quot;\ 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R$&quot;\ 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4" formatCode="&quot;R$&quot;\ 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823B"/>
      </font>
      <fill>
        <patternFill>
          <bgColor rgb="FFDCF0C6"/>
        </patternFill>
      </fill>
    </dxf>
    <dxf>
      <font>
        <color rgb="FF600000"/>
      </font>
      <fill>
        <patternFill>
          <bgColor rgb="FFFFD0C5"/>
        </patternFill>
      </fill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numFmt numFmtId="164" formatCode="&quot;R$&quot;\ 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&quot;R$&quot;\ 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R$&quot;\ 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4" formatCode="&quot;R$&quot;\ 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823B"/>
      </font>
      <fill>
        <patternFill>
          <bgColor rgb="FFDCF0C6"/>
        </patternFill>
      </fill>
    </dxf>
    <dxf>
      <font>
        <color rgb="FF600000"/>
      </font>
      <fill>
        <patternFill>
          <bgColor rgb="FFFFD0C5"/>
        </patternFill>
      </fill>
    </dxf>
    <dxf>
      <font>
        <color rgb="FF00823B"/>
      </font>
      <fill>
        <patternFill>
          <bgColor rgb="FFDCF0C6"/>
        </patternFill>
      </fill>
    </dxf>
    <dxf>
      <font>
        <color rgb="FF600000"/>
      </font>
      <fill>
        <patternFill>
          <bgColor rgb="FFFFD0C5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</dxf>
    <dxf>
      <font>
        <color theme="0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border diagonalUp="0" diagonalDown="0">
        <left/>
        <right/>
        <top/>
        <bottom/>
        <vertical/>
        <horizontal/>
      </border>
    </dxf>
    <dxf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sz val="11"/>
        <color theme="1"/>
      </font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 patternType="solid">
          <fgColor theme="0"/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sz val="11"/>
        <color theme="1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/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sz val="11"/>
        <color theme="1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/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sz val="11"/>
        <color theme="1"/>
      </font>
      <border diagonalUp="0" diagonalDown="0">
        <left/>
        <right/>
        <top/>
        <bottom/>
        <vertical/>
        <horizontal/>
      </border>
    </dxf>
    <dxf>
      <fill>
        <patternFill patternType="solid">
          <fgColor theme="0"/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sz val="11"/>
        <color theme="1"/>
      </font>
      <fill>
        <patternFill>
          <bgColor theme="0"/>
        </patternFill>
      </fill>
    </dxf>
    <dxf>
      <font>
        <color theme="1"/>
      </font>
      <fill>
        <patternFill patternType="solid">
          <fgColor theme="0"/>
          <bgColor theme="0"/>
        </patternFill>
      </fill>
      <border diagonalUp="0" diagonalDown="0">
        <left/>
        <right/>
        <top/>
        <bottom/>
        <vertical/>
        <horizontal/>
      </border>
    </dxf>
  </dxfs>
  <tableStyles count="13" defaultTableStyle="TableStyleMedium2" defaultPivotStyle="PivotStyleLight16">
    <tableStyle name="Estilo de Linha do Tempo 1" pivot="0" table="0" count="8" xr9:uid="{F86D47C9-6A05-4C37-8AC7-C17713643478}">
      <tableStyleElement type="wholeTable" dxfId="163"/>
      <tableStyleElement type="headerRow" dxfId="162"/>
    </tableStyle>
    <tableStyle name="Estilo de Linha do Tempo 2" pivot="0" table="0" count="9" xr9:uid="{D56BEBD4-FA8F-44D3-9570-5B583AB889DA}">
      <tableStyleElement type="wholeTable" dxfId="161"/>
      <tableStyleElement type="headerRow" dxfId="160"/>
    </tableStyle>
    <tableStyle name="Estilo de Linha do Tempo 3" pivot="0" table="0" count="9" xr9:uid="{FC6286DA-580B-4CA0-A0FB-F83F40FA64D1}">
      <tableStyleElement type="wholeTable" dxfId="159"/>
      <tableStyleElement type="headerRow" dxfId="158"/>
    </tableStyle>
    <tableStyle name="Estilo de Linha do Tempo 4" pivot="0" table="0" count="9" xr9:uid="{75FF91ED-B1FE-4B92-805D-B4F2D182423E}">
      <tableStyleElement type="wholeTable" dxfId="157"/>
      <tableStyleElement type="headerRow" dxfId="156"/>
    </tableStyle>
    <tableStyle name="Estilo de Linha do Tempo 5" pivot="0" table="0" count="9" xr9:uid="{238BA162-3DB1-439A-AA18-78A089A58C00}">
      <tableStyleElement type="wholeTable" dxfId="155"/>
      <tableStyleElement type="headerRow" dxfId="154"/>
    </tableStyle>
    <tableStyle name="Estilo de Segmentação de Dados 1" pivot="0" table="0" count="2" xr9:uid="{144BC3F1-29EC-4F50-8D7B-6714E086098B}">
      <tableStyleElement type="wholeTable" dxfId="153"/>
    </tableStyle>
    <tableStyle name="Estilo de Segmentação de Dados 2" pivot="0" table="0" count="3" xr9:uid="{79206040-47E5-4D3E-8D3B-3EC87E50C247}">
      <tableStyleElement type="wholeTable" dxfId="152"/>
    </tableStyle>
    <tableStyle name="Estilo de Segmentação de Dados 3" pivot="0" table="0" count="3" xr9:uid="{B1423F2E-A45E-4A15-A02B-AA0EF9B0C4D3}">
      <tableStyleElement type="wholeTable" dxfId="151"/>
    </tableStyle>
    <tableStyle name="Estilo de Segmentação de Dados 4" pivot="0" table="0" count="4" xr9:uid="{13FE558A-BD9B-4B3D-8A3D-B3F0AFF7B653}">
      <tableStyleElement type="wholeTable" dxfId="150"/>
    </tableStyle>
    <tableStyle name="Estilo de Segmentação de Dados 5" pivot="0" table="0" count="6" xr9:uid="{A3939546-884E-48BF-B85C-6EFA7E1994E8}">
      <tableStyleElement type="wholeTable" dxfId="149"/>
      <tableStyleElement type="headerRow" dxfId="148"/>
    </tableStyle>
    <tableStyle name="Estilo de Segmentação de Dados 6" pivot="0" table="0" count="6" xr9:uid="{599CAB82-6A68-4AB5-8EE2-61F398C42E18}">
      <tableStyleElement type="wholeTable" dxfId="147"/>
      <tableStyleElement type="headerRow" dxfId="146"/>
    </tableStyle>
    <tableStyle name="Estilo de Segmentação de Dados 7" pivot="0" table="0" count="4" xr9:uid="{47F9FD42-AA75-4D5D-8CEF-1D5413EF9122}">
      <tableStyleElement type="wholeTable" dxfId="145"/>
      <tableStyleElement type="headerRow" dxfId="144"/>
    </tableStyle>
    <tableStyle name="Estilo de Tabela 1" pivot="0" count="2" xr9:uid="{B53A53CE-D742-4896-A19C-5E33B6AF5D2E}">
      <tableStyleElement type="wholeTable" dxfId="143"/>
      <tableStyleElement type="headerRow" dxfId="142"/>
    </tableStyle>
  </tableStyles>
  <colors>
    <mruColors>
      <color rgb="FFFF6A47"/>
      <color rgb="FFED0000"/>
      <color rgb="FF57B7FF"/>
      <color rgb="FFFFB19F"/>
      <color rgb="FFFFFF97"/>
      <color rgb="FFFBFBFB"/>
      <color rgb="FF65BDFF"/>
      <color rgb="FF3BABFF"/>
      <color rgb="FF199CFF"/>
      <color rgb="FF007FDE"/>
    </mruColors>
  </colors>
  <extLst>
    <ext xmlns:x14="http://schemas.microsoft.com/office/spreadsheetml/2009/9/main" uri="{46F421CA-312F-682f-3DD2-61675219B42D}">
      <x14:dxfs count="18">
        <dxf>
          <font>
            <color theme="0"/>
          </font>
          <fill>
            <patternFill>
              <bgColor theme="8" tint="0.7999816888943144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/>
          </font>
          <fill>
            <patternFill>
              <bgColor rgb="FF0070C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/>
          </font>
          <fill>
            <patternFill>
              <bgColor theme="8" tint="0.7999816888943144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/>
          </font>
          <fill>
            <patternFill>
              <bgColor rgb="FF0070C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/>
          </font>
          <fill>
            <patternFill>
              <bgColor rgb="FF0070C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/>
          </font>
          <fill>
            <patternFill>
              <bgColor theme="8" tint="0.59996337778862885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/>
          </font>
          <fill>
            <patternFill>
              <bgColor rgb="FF00B0F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/>
          </font>
          <fill>
            <patternFill>
              <bgColor rgb="FF0070C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/>
          </font>
          <fill>
            <patternFill>
              <bgColor rgb="FF00206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/>
          </font>
          <fill>
            <patternFill>
              <bgColor rgb="FF00206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ill>
            <patternFill>
              <bgColor theme="4"/>
            </patternFill>
          </fill>
        </dxf>
        <dxf>
          <fill>
            <patternFill>
              <bgColor theme="0"/>
            </patternFill>
          </fill>
        </dxf>
        <dxf>
          <fill>
            <patternFill>
              <bgColor theme="0"/>
            </patternFill>
          </fill>
        </dxf>
        <dxf>
          <fill>
            <patternFill>
              <bgColor theme="0"/>
            </patternFill>
          </fill>
        </dxf>
        <dxf>
          <fill>
            <patternFill>
              <bgColor rgb="FF0070C0"/>
            </patternFill>
          </fill>
        </dxf>
        <dxf>
          <fill>
            <patternFill>
              <bgColor theme="0"/>
            </patternFill>
          </fill>
        </dxf>
        <dxf>
          <fill>
            <patternFill>
              <bgColor rgb="FF0070C0"/>
            </patternFill>
          </fill>
        </dxf>
        <dxf>
          <fill>
            <patternFill>
              <bgColor theme="0" tint="-4.9989318521683403E-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7"/>
          </x14:slicerStyleElements>
        </x14:slicerStyle>
        <x14:slicerStyle name="Estilo de Segmentação de Dados 2">
          <x14:slicerStyleElements>
            <x14:slicerStyleElement type="selectedItemWithData" dxfId="16"/>
            <x14:slicerStyleElement type="selectedItemWithNoData" dxfId="15"/>
          </x14:slicerStyleElements>
        </x14:slicerStyle>
        <x14:slicerStyle name="Estilo de Segmentação de Dados 3">
          <x14:slicerStyleElements>
            <x14:slicerStyleElement type="selectedItemWithData" dxfId="14"/>
            <x14:slicerStyleElement type="selectedItemWithNoData" dxfId="13"/>
          </x14:slicerStyleElements>
        </x14:slicerStyle>
        <x14:slicerStyle name="Estilo de Segmentação de Dados 4">
          <x14:slicerStyleElements>
            <x14:slicerStyleElement type="selectedItemWithData" dxfId="12"/>
            <x14:slicerStyleElement type="selectedItemWithNoData" dxfId="11"/>
            <x14:slicerStyleElement type="hoveredSelectedItemWithData" dxfId="10"/>
          </x14:slicerStyleElements>
        </x14:slicerStyle>
        <x14:slicerStyle name="Estilo de Segmentação de Dados 5">
          <x14:slicerStyleElements>
            <x14:slicerStyleElement type="unselectedItemWithData" dxfId="9"/>
            <x14:slicerStyleElement type="unselectedItemWithNoData" dxfId="8"/>
            <x14:slicerStyleElement type="selectedItemWithData" dxfId="7"/>
            <x14:slicerStyleElement type="selectedItemWithNoData" dxfId="6"/>
          </x14:slicerStyleElements>
        </x14:slicerStyle>
        <x14:slicerStyle name="Estilo de Segmentação de Dados 6">
          <x14:slicerStyleElements>
            <x14:slicerStyleElement type="unselectedItemWithData" dxfId="5"/>
            <x14:slicerStyleElement type="unselectedItemWithNoData" dxfId="4"/>
            <x14:slicerStyleElement type="selectedItemWithData" dxfId="3"/>
            <x14:slicerStyleElement type="selectedItemWithNoData" dxfId="2"/>
          </x14:slicerStyleElements>
        </x14:slicerStyle>
        <x14:slicerStyle name="Estilo de Segmentação de Dados 7">
          <x14:slicerStyleElements>
            <x14:slicerStyleElement type="selectedItemWithData" dxfId="1"/>
            <x14:slicerStyleElement type="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34">
        <dxf>
          <fill>
            <patternFill>
              <bgColor theme="0"/>
            </patternFill>
          </fill>
        </dxf>
        <dxf>
          <fill>
            <patternFill patternType="solid">
              <fgColor theme="0" tint="-0.14993743705557422"/>
              <bgColor theme="4" tint="0.59996337778862885"/>
            </patternFill>
          </fill>
        </dxf>
        <dxf>
          <fill>
            <patternFill patternType="solid">
              <fgColor theme="0"/>
              <bgColor theme="4" tint="0.79998168889431442"/>
            </patternFill>
          </fill>
        </dxf>
        <dxf>
          <font>
            <sz val="9"/>
            <color theme="1"/>
            <name val="Calibri"/>
            <family val="2"/>
            <scheme val="minor"/>
          </font>
        </dxf>
        <dxf>
          <font>
            <sz val="9"/>
            <color theme="1"/>
            <name val="Calibri"/>
            <family val="2"/>
            <scheme val="minor"/>
          </font>
        </dxf>
        <dxf>
          <font>
            <sz val="9"/>
            <color theme="1"/>
            <name val="Calibri"/>
            <family val="2"/>
            <scheme val="minor"/>
          </font>
        </dxf>
        <dxf>
          <font>
            <sz val="10"/>
            <color theme="1"/>
            <name val="Calibri"/>
            <family val="2"/>
            <scheme val="minor"/>
          </font>
        </dxf>
        <dxf>
          <fill>
            <patternFill>
              <bgColor rgb="FF0070C0"/>
            </patternFill>
          </fill>
        </dxf>
        <dxf>
          <fill>
            <patternFill patternType="solid">
              <fgColor theme="0" tint="-0.14996795556505021"/>
              <bgColor theme="8" tint="0.39994506668294322"/>
            </patternFill>
          </fill>
        </dxf>
        <dxf>
          <fill>
            <patternFill patternType="solid">
              <fgColor theme="0"/>
              <bgColor rgb="FF0070C0"/>
            </patternFill>
          </fill>
        </dxf>
        <dxf>
          <font>
            <sz val="9"/>
            <color theme="1"/>
            <name val="Calibri"/>
            <family val="2"/>
            <scheme val="minor"/>
          </font>
        </dxf>
        <dxf>
          <font>
            <sz val="9"/>
            <color theme="1"/>
            <name val="Calibri"/>
            <family val="2"/>
            <scheme val="minor"/>
          </font>
        </dxf>
        <dxf>
          <font>
            <sz val="9"/>
            <color theme="1"/>
            <name val="Calibri"/>
            <family val="2"/>
            <scheme val="minor"/>
          </font>
        </dxf>
        <dxf>
          <font>
            <sz val="10"/>
            <color theme="1"/>
            <name val="Calibri"/>
            <family val="2"/>
            <scheme val="minor"/>
          </font>
        </dxf>
        <dxf>
          <fill>
            <patternFill>
              <bgColor rgb="FF0070C0"/>
            </patternFill>
          </fill>
        </dxf>
        <dxf>
          <fill>
            <patternFill patternType="solid">
              <fgColor theme="0" tint="-0.14996795556505021"/>
              <bgColor theme="8" tint="0.3999450666829432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ill>
            <patternFill patternType="solid">
              <fgColor theme="0"/>
              <bgColor rgb="FF0070C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9"/>
            <color theme="1"/>
            <name val="Calibri"/>
            <family val="2"/>
            <scheme val="minor"/>
          </font>
        </dxf>
        <dxf>
          <font>
            <sz val="9"/>
            <color theme="1"/>
            <name val="Calibri"/>
            <family val="2"/>
            <scheme val="minor"/>
          </font>
        </dxf>
        <dxf>
          <font>
            <sz val="9"/>
            <color theme="1"/>
            <name val="Calibri"/>
            <family val="2"/>
            <scheme val="minor"/>
          </font>
        </dxf>
        <dxf>
          <font>
            <sz val="10"/>
            <color theme="1"/>
            <name val="Calibri"/>
            <family val="2"/>
            <scheme val="minor"/>
          </font>
        </dxf>
        <dxf>
          <fill>
            <patternFill>
              <bgColor theme="0"/>
            </patternFill>
          </fill>
        </dxf>
        <dxf>
          <fill>
            <patternFill patternType="solid">
              <fgColor theme="0" tint="-0.14993743705557422"/>
              <bgColor theme="0" tint="-0.1499679555650502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ill>
            <patternFill patternType="solid">
              <fgColor theme="0"/>
              <bgColor theme="0" tint="-4.9989318521683403E-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9"/>
            <color theme="1"/>
            <name val="Calibri"/>
            <family val="2"/>
            <scheme val="minor"/>
          </font>
        </dxf>
        <dxf>
          <font>
            <sz val="9"/>
            <color theme="1"/>
            <name val="Calibri"/>
            <family val="2"/>
            <scheme val="minor"/>
          </font>
        </dxf>
        <dxf>
          <font>
            <sz val="9"/>
            <color theme="1"/>
            <name val="Calibri"/>
            <family val="2"/>
            <scheme val="minor"/>
          </font>
        </dxf>
        <dxf>
          <font>
            <sz val="10"/>
            <color theme="1"/>
            <name val="Calibri"/>
            <family val="2"/>
            <scheme val="minor"/>
          </font>
        </dxf>
        <dxf>
          <fill>
            <patternFill patternType="solid">
              <fgColor theme="0" tint="-0.14996795556505021"/>
              <bgColor rgb="FF002060"/>
            </patternFill>
          </fill>
        </dxf>
        <dxf>
          <fill>
            <patternFill patternType="solid">
              <fgColor theme="0"/>
              <bgColor rgb="FF0070C0"/>
            </patternFill>
          </fill>
        </dxf>
        <dxf>
          <font>
            <sz val="9"/>
            <color theme="1"/>
          </font>
        </dxf>
        <dxf>
          <font>
            <sz val="9"/>
            <color theme="1"/>
            <name val="Calibri"/>
            <family val="2"/>
            <scheme val="minor"/>
          </font>
        </dxf>
        <dxf>
          <font>
            <sz val="9"/>
            <color theme="1"/>
            <name val="Calibri"/>
            <family val="2"/>
            <scheme val="minor"/>
          </font>
        </dxf>
        <dxf>
          <font>
            <sz val="10"/>
            <color theme="1"/>
          </font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Estilo de Linha do Tempo 1">
          <x15:timelineStyleElements>
            <x15:timelineStyleElement type="selectionLabel" dxfId="33"/>
            <x15:timelineStyleElement type="timeLevel" dxfId="32"/>
            <x15:timelineStyleElement type="periodLabel1" dxfId="31"/>
            <x15:timelineStyleElement type="periodLabel2" dxfId="30"/>
            <x15:timelineStyleElement type="selectedTimeBlock" dxfId="29"/>
            <x15:timelineStyleElement type="unselectedTimeBlock" dxfId="28"/>
          </x15:timelineStyleElements>
        </x15:timelineStyle>
        <x15:timelineStyle name="Estilo de Linha do Tempo 2">
          <x15:timelineStyleElements>
            <x15:timelineStyleElement type="selectionLabel" dxfId="27"/>
            <x15:timelineStyleElement type="timeLevel" dxfId="26"/>
            <x15:timelineStyleElement type="periodLabel1" dxfId="25"/>
            <x15:timelineStyleElement type="periodLabel2" dxfId="24"/>
            <x15:timelineStyleElement type="selectedTimeBlock" dxfId="23"/>
            <x15:timelineStyleElement type="unselectedTimeBlock" dxfId="22"/>
            <x15:timelineStyleElement type="selectedTimeBlockSpace" dxfId="21"/>
          </x15:timelineStyleElements>
        </x15:timelineStyle>
        <x15:timelineStyle name="Estilo de Linha do Tempo 3">
          <x15:timelineStyleElements>
            <x15:timelineStyleElement type="selectionLabel" dxfId="20"/>
            <x15:timelineStyleElement type="timeLevel" dxfId="19"/>
            <x15:timelineStyleElement type="periodLabel1" dxfId="18"/>
            <x15:timelineStyleElement type="periodLabel2" dxfId="17"/>
            <x15:timelineStyleElement type="selectedTimeBlock" dxfId="16"/>
            <x15:timelineStyleElement type="unselectedTimeBlock" dxfId="15"/>
            <x15:timelineStyleElement type="selectedTimeBlockSpace" dxfId="14"/>
          </x15:timelineStyleElements>
        </x15:timelineStyle>
        <x15:timelineStyle name="Estilo de Linha do Tempo 4">
          <x15:timelineStyleElements>
            <x15:timelineStyleElement type="selectionLabel" dxfId="13"/>
            <x15:timelineStyleElement type="timeLevel" dxfId="12"/>
            <x15:timelineStyleElement type="periodLabel1" dxfId="11"/>
            <x15:timelineStyleElement type="periodLabel2" dxfId="10"/>
            <x15:timelineStyleElement type="selectedTimeBlock" dxfId="9"/>
            <x15:timelineStyleElement type="unselectedTimeBlock" dxfId="8"/>
            <x15:timelineStyleElement type="selectedTimeBlockSpace" dxfId="7"/>
          </x15:timelineStyleElements>
        </x15:timelineStyle>
        <x15:timelineStyle name="Estilo de Linha do Tempo 5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microsoft.com/office/2007/relationships/slicerCache" Target="slicerCaches/slicerCache5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pivotCacheDefinition" Target="pivotCache/pivotCacheDefinition2.xml"/><Relationship Id="rId12" Type="http://schemas.microsoft.com/office/2007/relationships/slicerCache" Target="slicerCaches/slicerCache4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8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microsoft.com/office/2007/relationships/slicerCache" Target="slicerCaches/slicerCache7.xml"/><Relationship Id="rId23" Type="http://schemas.microsoft.com/office/2006/relationships/vbaProject" Target="vbaProject.bin"/><Relationship Id="rId10" Type="http://schemas.microsoft.com/office/2007/relationships/slicerCache" Target="slicerCaches/slicerCache2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microsoft.com/office/2007/relationships/slicerCache" Target="slicerCaches/slicerCache6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2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4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microsoft.com/office/2011/relationships/chartColorStyle" Target="colors3.xml"/><Relationship Id="rId1" Type="http://schemas.microsoft.com/office/2011/relationships/chartStyle" Target="style3.xml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5.xml"/><Relationship Id="rId1" Type="http://schemas.microsoft.com/office/2011/relationships/chartStyle" Target="style5.xml"/><Relationship Id="rId5" Type="http://schemas.openxmlformats.org/officeDocument/2006/relationships/image" Target="../media/image15.png"/><Relationship Id="rId4" Type="http://schemas.openxmlformats.org/officeDocument/2006/relationships/image" Target="../media/image2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microsoft.com/office/2011/relationships/chartColorStyle" Target="colors6.xml"/><Relationship Id="rId1" Type="http://schemas.microsoft.com/office/2011/relationships/chartStyle" Target="style6.xml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[MODELO DE FLUXO DE CAIXA COM MACRO1.xlsm]Dashboard Empresa!Tabela dinâmica3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</a:rPr>
              <a:t>Entradas</a:t>
            </a:r>
            <a:r>
              <a:rPr lang="pt-BR" sz="1200" b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</a:rPr>
              <a:t> por Categoria</a:t>
            </a:r>
          </a:p>
        </c:rich>
      </c:tx>
      <c:layout>
        <c:manualLayout>
          <c:xMode val="edge"/>
          <c:yMode val="edge"/>
          <c:x val="0.30832403907266331"/>
          <c:y val="2.96723656819231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blipFill>
            <a:blip xmlns:r="http://schemas.openxmlformats.org/officeDocument/2006/relationships" r:embed="rId3"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numFmt formatCode="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60A500"/>
          </a:solidFill>
          <a:ln>
            <a:noFill/>
          </a:ln>
          <a:effectLst/>
        </c:spPr>
        <c:dLbl>
          <c:idx val="0"/>
          <c:layout>
            <c:manualLayout>
              <c:x val="-2.7777777777777779E-3"/>
              <c:y val="-4.2437781360066642E-17"/>
            </c:manualLayout>
          </c:layout>
          <c:numFmt formatCode="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  <c:spPr>
          <a:blipFill>
            <a:blip xmlns:r="http://schemas.openxmlformats.org/officeDocument/2006/relationships" r:embed="rId4"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905287447713209"/>
          <c:y val="0.17171289458674391"/>
          <c:w val="0.55507445946309297"/>
          <c:h val="0.7367945490444257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'Dashboard Empresa'!$I$1:$I$2</c:f>
              <c:strCache>
                <c:ptCount val="1"/>
                <c:pt idx="0">
                  <c:v>Entrada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Empresa'!$H$3</c:f>
              <c:strCache>
                <c:ptCount val="1"/>
                <c:pt idx="0">
                  <c:v>Vendas (Produtos)</c:v>
                </c:pt>
              </c:strCache>
            </c:strRef>
          </c:cat>
          <c:val>
            <c:numRef>
              <c:f>'Dashboard Empresa'!$I$3</c:f>
              <c:numCache>
                <c:formatCode>"R$"\ #,##0</c:formatCode>
                <c:ptCount val="1"/>
                <c:pt idx="0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8F-4737-B06B-9CA3C9FF25E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042709984"/>
        <c:axId val="2042697024"/>
      </c:barChart>
      <c:catAx>
        <c:axId val="2042709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42697024"/>
        <c:crosses val="autoZero"/>
        <c:auto val="1"/>
        <c:lblAlgn val="ctr"/>
        <c:lblOffset val="100"/>
        <c:noMultiLvlLbl val="0"/>
      </c:catAx>
      <c:valAx>
        <c:axId val="2042697024"/>
        <c:scaling>
          <c:orientation val="minMax"/>
        </c:scaling>
        <c:delete val="1"/>
        <c:axPos val="b"/>
        <c:numFmt formatCode="&quot;R$&quot;\ #,##0" sourceLinked="1"/>
        <c:majorTickMark val="none"/>
        <c:minorTickMark val="none"/>
        <c:tickLblPos val="nextTo"/>
        <c:crossAx val="2042709984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[MODELO DE FLUXO DE CAIXA COM MACRO1.xlsm]Dashboard Empresa!Tabela dinâmica10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n-US" sz="1200" b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</a:rPr>
              <a:t>Saídas</a:t>
            </a:r>
            <a:r>
              <a:rPr lang="en-US" sz="1200" b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</a:rPr>
              <a:t> por Categoria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blipFill>
            <a:blip xmlns:r="http://schemas.openxmlformats.org/officeDocument/2006/relationships" r:embed="rId3"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numFmt formatCode="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ED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blipFill>
            <a:blip xmlns:r="http://schemas.openxmlformats.org/officeDocument/2006/relationships" r:embed="rId4"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495934314543872"/>
          <c:y val="0.16251258853520967"/>
          <c:w val="0.52764785076822718"/>
          <c:h val="0.78589611351710476"/>
        </c:manualLayout>
      </c:layout>
      <c:barChart>
        <c:barDir val="bar"/>
        <c:grouping val="clustered"/>
        <c:varyColors val="0"/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2610000"/>
        <c:axId val="1825553184"/>
      </c:barChart>
      <c:catAx>
        <c:axId val="1326100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25553184"/>
        <c:crosses val="autoZero"/>
        <c:auto val="1"/>
        <c:lblAlgn val="ctr"/>
        <c:lblOffset val="100"/>
        <c:noMultiLvlLbl val="0"/>
      </c:catAx>
      <c:valAx>
        <c:axId val="1825553184"/>
        <c:scaling>
          <c:orientation val="minMax"/>
        </c:scaling>
        <c:delete val="1"/>
        <c:axPos val="b"/>
        <c:numFmt formatCode="&quot;R$&quot;\ #,##0" sourceLinked="1"/>
        <c:majorTickMark val="none"/>
        <c:minorTickMark val="none"/>
        <c:tickLblPos val="nextTo"/>
        <c:crossAx val="132610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[MODELO DE FLUXO DE CAIXA COM MACRO1.xlsm]Dashboard Empresa!Tabela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</a:rPr>
              <a:t>Evolução</a:t>
            </a:r>
            <a:r>
              <a:rPr lang="pt-BR" sz="1200" b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</a:rPr>
              <a:t> Mensal das Movimentações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blipFill>
            <a:blip xmlns:r="http://schemas.openxmlformats.org/officeDocument/2006/relationships" r:embed="rId3"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blipFill>
            <a:blip xmlns:r="http://schemas.openxmlformats.org/officeDocument/2006/relationships" r:embed="rId4"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blipFill>
            <a:blip xmlns:r="http://schemas.openxmlformats.org/officeDocument/2006/relationships" r:embed="rId5"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blipFill>
            <a:blip xmlns:r="http://schemas.openxmlformats.org/officeDocument/2006/relationships" r:embed="rId6"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Empresa'!$B$1:$B$2</c:f>
              <c:strCache>
                <c:ptCount val="1"/>
                <c:pt idx="0">
                  <c:v>Entrada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'Dashboard Empresa'!$A$3</c:f>
              <c:strCache>
                <c:ptCount val="1"/>
                <c:pt idx="0">
                  <c:v>Mai</c:v>
                </c:pt>
              </c:strCache>
            </c:strRef>
          </c:cat>
          <c:val>
            <c:numRef>
              <c:f>'Dashboard Empresa'!$B$3</c:f>
              <c:numCache>
                <c:formatCode>"R$"\ #,##0</c:formatCode>
                <c:ptCount val="1"/>
                <c:pt idx="0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95-46B9-8D7F-A94797C74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2727744"/>
        <c:axId val="2042731104"/>
      </c:barChart>
      <c:catAx>
        <c:axId val="204272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42731104"/>
        <c:crosses val="autoZero"/>
        <c:auto val="1"/>
        <c:lblAlgn val="ctr"/>
        <c:lblOffset val="100"/>
        <c:noMultiLvlLbl val="0"/>
      </c:catAx>
      <c:valAx>
        <c:axId val="2042731104"/>
        <c:scaling>
          <c:orientation val="minMax"/>
        </c:scaling>
        <c:delete val="0"/>
        <c:axPos val="l"/>
        <c:numFmt formatCode="&quot;R$&quot;\ 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4272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[MODELO DE FLUXO DE CAIXA COM MACRO1.xlsm]Dashboard Empresa!Tabela dinâmica6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n-US"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rPr>
              <a:t>%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7.757732187758215E-2"/>
              <c:y val="-0.1029411764705882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341846662342625"/>
              <c:y val="6.86274509803921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>
              <a:tint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5">
              <a:tint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5">
              <a:shade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5">
              <a:shade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5">
              <a:shade val="65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5266822755033297"/>
          <c:y val="0.21468906639377658"/>
          <c:w val="0.52271527494008629"/>
          <c:h val="0.71755384367567765"/>
        </c:manualLayout>
      </c:layout>
      <c:doughnutChart>
        <c:varyColors val="1"/>
        <c:ser>
          <c:idx val="0"/>
          <c:order val="0"/>
          <c:tx>
            <c:strRef>
              <c:f>'Dashboard Empresa'!$Q$1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50D-4F9F-99A3-37AB32CC7200}"/>
              </c:ext>
            </c:extLst>
          </c:dPt>
          <c:dPt>
            <c:idx val="1"/>
            <c:bubble3D val="0"/>
            <c:spPr>
              <a:solidFill>
                <a:schemeClr val="accent5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50D-4F9F-99A3-37AB32CC7200}"/>
              </c:ext>
            </c:extLst>
          </c:dPt>
          <c:dPt>
            <c:idx val="2"/>
            <c:bubble3D val="0"/>
            <c:spPr>
              <a:solidFill>
                <a:schemeClr val="accent5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750D-4F9F-99A3-37AB32CC7200}"/>
              </c:ext>
            </c:extLst>
          </c:dPt>
          <c:dPt>
            <c:idx val="3"/>
            <c:bubble3D val="0"/>
            <c:spPr>
              <a:solidFill>
                <a:schemeClr val="accent5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E47-4301-BD12-E729517EBF7D}"/>
              </c:ext>
            </c:extLst>
          </c:dPt>
          <c:dPt>
            <c:idx val="4"/>
            <c:bubble3D val="0"/>
            <c:spPr>
              <a:solidFill>
                <a:schemeClr val="accent5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E47-4301-BD12-E729517EBF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'Dashboard Empresa'!$P$2:$P$3</c:f>
              <c:strCache>
                <c:ptCount val="2"/>
                <c:pt idx="0">
                  <c:v>Pago</c:v>
                </c:pt>
                <c:pt idx="1">
                  <c:v>(vazio)</c:v>
                </c:pt>
              </c:strCache>
            </c:strRef>
          </c:cat>
          <c:val>
            <c:numRef>
              <c:f>'Dashboard Empresa'!$Q$2:$Q$3</c:f>
              <c:numCache>
                <c:formatCode>"R$"\ #,##0</c:formatCode>
                <c:ptCount val="2"/>
                <c:pt idx="0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0D-4F9F-99A3-37AB32CC720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4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[MODELO DE FLUXO DE CAIXA COM MACRO1.xlsm]Dashboard Pessoal!Tabela dinâmica3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pt-BR"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rPr>
              <a:t>Entradas por Categoria</a:t>
            </a:r>
          </a:p>
        </c:rich>
      </c:tx>
      <c:layout>
        <c:manualLayout>
          <c:xMode val="edge"/>
          <c:yMode val="edge"/>
          <c:x val="0.30832403907266331"/>
          <c:y val="2.96723656819231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blipFill>
            <a:blip xmlns:r="http://schemas.openxmlformats.org/officeDocument/2006/relationships" r:embed="rId3"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numFmt formatCode="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60A500"/>
          </a:solidFill>
          <a:ln>
            <a:noFill/>
          </a:ln>
          <a:effectLst/>
        </c:spPr>
        <c:dLbl>
          <c:idx val="0"/>
          <c:layout>
            <c:manualLayout>
              <c:x val="-2.7777777777777779E-3"/>
              <c:y val="-4.2437781360066642E-17"/>
            </c:manualLayout>
          </c:layout>
          <c:numFmt formatCode="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  <c:spPr>
          <a:blipFill>
            <a:blip xmlns:r="http://schemas.openxmlformats.org/officeDocument/2006/relationships" r:embed="rId4"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blipFill>
            <a:blip xmlns:r="http://schemas.openxmlformats.org/officeDocument/2006/relationships" r:embed="rId4"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blipFill>
            <a:blip xmlns:r="http://schemas.openxmlformats.org/officeDocument/2006/relationships" r:embed="rId4"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blipFill>
            <a:blip xmlns:r="http://schemas.openxmlformats.org/officeDocument/2006/relationships" r:embed="rId5"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674358442516218"/>
          <c:y val="0.17171289458674391"/>
          <c:w val="0.80504997253623112"/>
          <c:h val="0.77736111111111106"/>
        </c:manualLayout>
      </c:layout>
      <c:barChart>
        <c:barDir val="bar"/>
        <c:grouping val="clustered"/>
        <c:varyColors val="0"/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042709984"/>
        <c:axId val="2042697024"/>
      </c:barChart>
      <c:catAx>
        <c:axId val="2042709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42697024"/>
        <c:crosses val="autoZero"/>
        <c:auto val="1"/>
        <c:lblAlgn val="ctr"/>
        <c:lblOffset val="100"/>
        <c:noMultiLvlLbl val="0"/>
      </c:catAx>
      <c:valAx>
        <c:axId val="2042697024"/>
        <c:scaling>
          <c:orientation val="minMax"/>
        </c:scaling>
        <c:delete val="1"/>
        <c:axPos val="b"/>
        <c:numFmt formatCode="&quot;R$&quot;\ #,##0" sourceLinked="1"/>
        <c:majorTickMark val="none"/>
        <c:minorTickMark val="none"/>
        <c:tickLblPos val="nextTo"/>
        <c:crossAx val="2042709984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[MODELO DE FLUXO DE CAIXA COM MACRO1.xlsm]Dashboard Pessoal!Tabela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pt-BR" sz="1200" b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</a:rPr>
              <a:t>Evolução</a:t>
            </a:r>
            <a:r>
              <a:rPr lang="pt-BR" sz="1200" b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</a:rPr>
              <a:t> Mensal das Movimentações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blipFill>
            <a:blip xmlns:r="http://schemas.openxmlformats.org/officeDocument/2006/relationships" r:embed="rId3"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blipFill>
            <a:blip xmlns:r="http://schemas.openxmlformats.org/officeDocument/2006/relationships" r:embed="rId4"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blipFill>
            <a:blip xmlns:r="http://schemas.openxmlformats.org/officeDocument/2006/relationships" r:embed="rId5"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blipFill>
            <a:blip xmlns:r="http://schemas.openxmlformats.org/officeDocument/2006/relationships" r:embed="rId6"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6A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6A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Pessoal'!$B$1:$B$2</c:f>
              <c:strCache>
                <c:ptCount val="1"/>
                <c:pt idx="0">
                  <c:v>Saída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'Dashboard Pessoal'!$A$3</c:f>
              <c:strCache>
                <c:ptCount val="1"/>
                <c:pt idx="0">
                  <c:v>Mai</c:v>
                </c:pt>
              </c:strCache>
            </c:strRef>
          </c:cat>
          <c:val>
            <c:numRef>
              <c:f>'Dashboard Pessoal'!$B$3</c:f>
              <c:numCache>
                <c:formatCode>General</c:formatCode>
                <c:ptCount val="1"/>
                <c:pt idx="0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7C-45E9-86F7-3ECDE0E0B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2727744"/>
        <c:axId val="2042731104"/>
      </c:barChart>
      <c:catAx>
        <c:axId val="204272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42731104"/>
        <c:crosses val="autoZero"/>
        <c:auto val="1"/>
        <c:lblAlgn val="ctr"/>
        <c:lblOffset val="100"/>
        <c:noMultiLvlLbl val="0"/>
      </c:catAx>
      <c:valAx>
        <c:axId val="2042731104"/>
        <c:scaling>
          <c:orientation val="minMax"/>
        </c:scaling>
        <c:delete val="0"/>
        <c:axPos val="l"/>
        <c:numFmt formatCode="&quot;R$&quot;\ 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4272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[MODELO DE FLUXO DE CAIXA COM MACRO1.xlsm]Dashboard Pessoal!Tabela dinâmica4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n-US"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rPr>
              <a:t>% 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7.5574722040096277E-3"/>
              <c:y val="-4.886562491823755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4.3238207245220005E-3"/>
              <c:y val="1.954624996729465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8115542421550213E-2"/>
              <c:y val="5.863874990188398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2.6938320363441475E-3"/>
              <c:y val="-2.443281245911832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>
              <a:tint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5">
              <a:shade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5">
              <a:shade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575121584506585"/>
          <c:y val="0.27704346808959263"/>
          <c:w val="0.45595757865936687"/>
          <c:h val="0.63499840705758137"/>
        </c:manualLayout>
      </c:layout>
      <c:doughnutChart>
        <c:varyColors val="1"/>
        <c:ser>
          <c:idx val="0"/>
          <c:order val="0"/>
          <c:tx>
            <c:strRef>
              <c:f>'Dashboard Pessoal'!$Y$1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8F6-4D09-B5F7-9F7ABC217589}"/>
              </c:ext>
            </c:extLst>
          </c:dPt>
          <c:dPt>
            <c:idx val="1"/>
            <c:bubble3D val="0"/>
            <c:spPr>
              <a:solidFill>
                <a:schemeClr val="accent5">
                  <a:shade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8F6-4D09-B5F7-9F7ABC217589}"/>
              </c:ext>
            </c:extLst>
          </c:dPt>
          <c:dPt>
            <c:idx val="2"/>
            <c:bubble3D val="0"/>
            <c:spPr>
              <a:solidFill>
                <a:schemeClr val="accent5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8F6-4D09-B5F7-9F7ABC217589}"/>
              </c:ext>
            </c:extLst>
          </c:dPt>
          <c:dPt>
            <c:idx val="3"/>
            <c:bubble3D val="0"/>
            <c:spPr>
              <a:solidFill>
                <a:schemeClr val="accent5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CC4-4CF2-825C-775D2F1525C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'Dashboard Pessoal'!$X$2:$X$3</c:f>
              <c:strCache>
                <c:ptCount val="2"/>
                <c:pt idx="0">
                  <c:v>Pendente</c:v>
                </c:pt>
                <c:pt idx="1">
                  <c:v>(vazio)</c:v>
                </c:pt>
              </c:strCache>
            </c:strRef>
          </c:cat>
          <c:val>
            <c:numRef>
              <c:f>'Dashboard Pessoal'!$Y$2:$Y$3</c:f>
              <c:numCache>
                <c:formatCode>"R$"\ #,##0</c:formatCode>
                <c:ptCount val="2"/>
                <c:pt idx="0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B7C-4AED-B8CD-38832EBEF1E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7.0270222481067138E-2"/>
          <c:y val="0.12534032791527699"/>
          <c:w val="0.5438103450228885"/>
          <c:h val="8.24613192025745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[MODELO DE FLUXO DE CAIXA COM MACRO1.xlsm]Dashboard Pessoal!Tabela dinâmica5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n-US"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rPr>
              <a:t>Saídas por Categoria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blipFill>
            <a:blip xmlns:r="http://schemas.openxmlformats.org/officeDocument/2006/relationships" r:embed="rId3"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'Dashboard Pessoal'!$M$1:$M$2</c:f>
              <c:strCache>
                <c:ptCount val="1"/>
                <c:pt idx="0">
                  <c:v>Saída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Pessoal'!$L$3</c:f>
              <c:strCache>
                <c:ptCount val="1"/>
                <c:pt idx="0">
                  <c:v>Aluguel / Moradia</c:v>
                </c:pt>
              </c:strCache>
            </c:strRef>
          </c:cat>
          <c:val>
            <c:numRef>
              <c:f>'Dashboard Pessoal'!$M$3</c:f>
              <c:numCache>
                <c:formatCode>"R$"\ #,##0</c:formatCode>
                <c:ptCount val="1"/>
                <c:pt idx="0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6D-4791-AC06-26A2AD6CC12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27526735"/>
        <c:axId val="2127523855"/>
      </c:barChart>
      <c:catAx>
        <c:axId val="21275267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7523855"/>
        <c:crosses val="autoZero"/>
        <c:auto val="1"/>
        <c:lblAlgn val="ctr"/>
        <c:lblOffset val="100"/>
        <c:noMultiLvlLbl val="0"/>
      </c:catAx>
      <c:valAx>
        <c:axId val="2127523855"/>
        <c:scaling>
          <c:orientation val="minMax"/>
        </c:scaling>
        <c:delete val="1"/>
        <c:axPos val="b"/>
        <c:numFmt formatCode="&quot;R$&quot;\ #,##0" sourceLinked="1"/>
        <c:majorTickMark val="none"/>
        <c:minorTickMark val="none"/>
        <c:tickLblPos val="nextTo"/>
        <c:crossAx val="21275267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Empresa!A1"/><Relationship Id="rId2" Type="http://schemas.openxmlformats.org/officeDocument/2006/relationships/hyperlink" Target="#'Dashboard Pessoal'!A1"/><Relationship Id="rId1" Type="http://schemas.openxmlformats.org/officeDocument/2006/relationships/hyperlink" Target="#Pessoal!A1"/><Relationship Id="rId5" Type="http://schemas.openxmlformats.org/officeDocument/2006/relationships/hyperlink" Target="https://youtube.com/playlist?list=PLtfFpDNcWhhWMgbd3JabgFteBCmthUjv1&amp;si=rK35RT9NlcrLqgSV" TargetMode="External"/><Relationship Id="rId4" Type="http://schemas.openxmlformats.org/officeDocument/2006/relationships/hyperlink" Target="#'Dashboard Empresa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Empresa!A1"/><Relationship Id="rId2" Type="http://schemas.openxmlformats.org/officeDocument/2006/relationships/hyperlink" Target="#'Dashboard Pessoal'!A1"/><Relationship Id="rId1" Type="http://schemas.openxmlformats.org/officeDocument/2006/relationships/hyperlink" Target="#Cadastro!A1"/><Relationship Id="rId4" Type="http://schemas.openxmlformats.org/officeDocument/2006/relationships/hyperlink" Target="#'Dashboard Empresa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Dashboard Pessoal'!A1"/><Relationship Id="rId2" Type="http://schemas.openxmlformats.org/officeDocument/2006/relationships/hyperlink" Target="#Pessoal!A1"/><Relationship Id="rId1" Type="http://schemas.openxmlformats.org/officeDocument/2006/relationships/hyperlink" Target="#Cadastro!A1"/><Relationship Id="rId4" Type="http://schemas.openxmlformats.org/officeDocument/2006/relationships/hyperlink" Target="#'Dashboard Empresa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hyperlink" Target="#Empresa!A1"/><Relationship Id="rId3" Type="http://schemas.openxmlformats.org/officeDocument/2006/relationships/chart" Target="../charts/chart3.xml"/><Relationship Id="rId7" Type="http://schemas.openxmlformats.org/officeDocument/2006/relationships/image" Target="../media/image12.svg"/><Relationship Id="rId12" Type="http://schemas.openxmlformats.org/officeDocument/2006/relationships/hyperlink" Target="#Pessoal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1.png"/><Relationship Id="rId11" Type="http://schemas.openxmlformats.org/officeDocument/2006/relationships/hyperlink" Target="#Cadastro!A1"/><Relationship Id="rId5" Type="http://schemas.openxmlformats.org/officeDocument/2006/relationships/image" Target="../media/image10.svg"/><Relationship Id="rId10" Type="http://schemas.openxmlformats.org/officeDocument/2006/relationships/chart" Target="../charts/chart4.xml"/><Relationship Id="rId4" Type="http://schemas.openxmlformats.org/officeDocument/2006/relationships/image" Target="../media/image9.png"/><Relationship Id="rId9" Type="http://schemas.openxmlformats.org/officeDocument/2006/relationships/image" Target="../media/image14.svg"/><Relationship Id="rId14" Type="http://schemas.openxmlformats.org/officeDocument/2006/relationships/hyperlink" Target="#'Dashboard Pessoal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svg"/><Relationship Id="rId13" Type="http://schemas.openxmlformats.org/officeDocument/2006/relationships/hyperlink" Target="#Empresa!A1"/><Relationship Id="rId3" Type="http://schemas.openxmlformats.org/officeDocument/2006/relationships/image" Target="../media/image9.png"/><Relationship Id="rId7" Type="http://schemas.openxmlformats.org/officeDocument/2006/relationships/image" Target="../media/image18.png"/><Relationship Id="rId12" Type="http://schemas.openxmlformats.org/officeDocument/2006/relationships/hyperlink" Target="#Pessoal!A1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image" Target="../media/image17.svg"/><Relationship Id="rId11" Type="http://schemas.openxmlformats.org/officeDocument/2006/relationships/hyperlink" Target="#Cadastro!A1"/><Relationship Id="rId5" Type="http://schemas.openxmlformats.org/officeDocument/2006/relationships/image" Target="../media/image16.png"/><Relationship Id="rId10" Type="http://schemas.openxmlformats.org/officeDocument/2006/relationships/chart" Target="../charts/chart8.xml"/><Relationship Id="rId4" Type="http://schemas.openxmlformats.org/officeDocument/2006/relationships/image" Target="../media/image10.svg"/><Relationship Id="rId9" Type="http://schemas.openxmlformats.org/officeDocument/2006/relationships/chart" Target="../charts/chart7.xml"/><Relationship Id="rId14" Type="http://schemas.openxmlformats.org/officeDocument/2006/relationships/hyperlink" Target="#'Dashboard Empresa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114300</xdr:colOff>
      <xdr:row>7</xdr:row>
      <xdr:rowOff>19050</xdr:rowOff>
    </xdr:from>
    <xdr:to>
      <xdr:col>5</xdr:col>
      <xdr:colOff>438150</xdr:colOff>
      <xdr:row>9</xdr:row>
      <xdr:rowOff>114300</xdr:rowOff>
    </xdr:to>
    <xdr:sp macro="" textlink="">
      <xdr:nvSpPr>
        <xdr:cNvPr id="3" name="Chave Direita 2">
          <a:extLst>
            <a:ext uri="{FF2B5EF4-FFF2-40B4-BE49-F238E27FC236}">
              <a16:creationId xmlns:a16="http://schemas.microsoft.com/office/drawing/2014/main" id="{4969B3AC-29FB-AE00-7665-58502729683A}"/>
            </a:ext>
          </a:extLst>
        </xdr:cNvPr>
        <xdr:cNvSpPr/>
      </xdr:nvSpPr>
      <xdr:spPr>
        <a:xfrm rot="10800000">
          <a:off x="9267825" y="781050"/>
          <a:ext cx="323850" cy="4762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209550</xdr:colOff>
      <xdr:row>7</xdr:row>
      <xdr:rowOff>28575</xdr:rowOff>
    </xdr:from>
    <xdr:to>
      <xdr:col>3</xdr:col>
      <xdr:colOff>533400</xdr:colOff>
      <xdr:row>9</xdr:row>
      <xdr:rowOff>123825</xdr:rowOff>
    </xdr:to>
    <xdr:sp macro="" textlink="">
      <xdr:nvSpPr>
        <xdr:cNvPr id="4" name="Chave Direita 3">
          <a:extLst>
            <a:ext uri="{FF2B5EF4-FFF2-40B4-BE49-F238E27FC236}">
              <a16:creationId xmlns:a16="http://schemas.microsoft.com/office/drawing/2014/main" id="{D274D56B-B4FB-480C-9C42-56E03CD92FE8}"/>
            </a:ext>
          </a:extLst>
        </xdr:cNvPr>
        <xdr:cNvSpPr/>
      </xdr:nvSpPr>
      <xdr:spPr>
        <a:xfrm>
          <a:off x="8143875" y="790575"/>
          <a:ext cx="323850" cy="4762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28575</xdr:rowOff>
    </xdr:from>
    <xdr:to>
      <xdr:col>9</xdr:col>
      <xdr:colOff>28575</xdr:colOff>
      <xdr:row>2</xdr:row>
      <xdr:rowOff>114300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7FAE2F46-8040-4012-AE94-19191681628B}"/>
            </a:ext>
          </a:extLst>
        </xdr:cNvPr>
        <xdr:cNvGrpSpPr/>
      </xdr:nvGrpSpPr>
      <xdr:grpSpPr>
        <a:xfrm>
          <a:off x="0" y="28575"/>
          <a:ext cx="15962539" cy="466725"/>
          <a:chOff x="0" y="28575"/>
          <a:chExt cx="15011400" cy="466725"/>
        </a:xfrm>
      </xdr:grpSpPr>
      <xdr:sp macro="" textlink="">
        <xdr:nvSpPr>
          <xdr:cNvPr id="2" name="Retângulo: Cantos Superiores Arredondados 1">
            <a:extLst>
              <a:ext uri="{FF2B5EF4-FFF2-40B4-BE49-F238E27FC236}">
                <a16:creationId xmlns:a16="http://schemas.microsoft.com/office/drawing/2014/main" id="{E9124A80-197B-6615-E9E0-A819E3940208}"/>
              </a:ext>
            </a:extLst>
          </xdr:cNvPr>
          <xdr:cNvSpPr/>
        </xdr:nvSpPr>
        <xdr:spPr>
          <a:xfrm>
            <a:off x="0" y="28575"/>
            <a:ext cx="2990850" cy="457200"/>
          </a:xfrm>
          <a:prstGeom prst="round2SameRect">
            <a:avLst/>
          </a:prstGeom>
          <a:solidFill>
            <a:srgbClr val="00206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400"/>
              <a:t>CADASTRO</a:t>
            </a:r>
          </a:p>
        </xdr:txBody>
      </xdr:sp>
      <xdr:sp macro="" textlink="">
        <xdr:nvSpPr>
          <xdr:cNvPr id="5" name="Retângulo: Cantos Superiores Arredondados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52B0373-FF97-4DE4-87E2-8D1A01E49AA2}"/>
              </a:ext>
            </a:extLst>
          </xdr:cNvPr>
          <xdr:cNvSpPr/>
        </xdr:nvSpPr>
        <xdr:spPr>
          <a:xfrm>
            <a:off x="3000375" y="28575"/>
            <a:ext cx="2990850" cy="457200"/>
          </a:xfrm>
          <a:prstGeom prst="round2Same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2000"/>
              <a:t>CONTROLE</a:t>
            </a:r>
            <a:r>
              <a:rPr lang="pt-BR" sz="2000" baseline="0"/>
              <a:t> PESSOAL</a:t>
            </a:r>
          </a:p>
          <a:p>
            <a:pPr algn="l"/>
            <a:endParaRPr lang="pt-BR" sz="2000"/>
          </a:p>
        </xdr:txBody>
      </xdr:sp>
      <xdr:sp macro="" textlink="">
        <xdr:nvSpPr>
          <xdr:cNvPr id="6" name="Retângulo: Cantos Superiores Arredondados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C80606B-FED8-4032-93C9-280389AD7202}"/>
              </a:ext>
            </a:extLst>
          </xdr:cNvPr>
          <xdr:cNvSpPr/>
        </xdr:nvSpPr>
        <xdr:spPr>
          <a:xfrm>
            <a:off x="6000750" y="28575"/>
            <a:ext cx="2990850" cy="457200"/>
          </a:xfrm>
          <a:prstGeom prst="round2Same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2000"/>
              <a:t>DASHBOARD PESSOAL</a:t>
            </a:r>
          </a:p>
        </xdr:txBody>
      </xdr:sp>
      <xdr:sp macro="" textlink="">
        <xdr:nvSpPr>
          <xdr:cNvPr id="7" name="Retângulo: Cantos Superiores Arredondados 6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1DD5DC6-1973-4637-BD6A-8422E3515018}"/>
              </a:ext>
            </a:extLst>
          </xdr:cNvPr>
          <xdr:cNvSpPr/>
        </xdr:nvSpPr>
        <xdr:spPr>
          <a:xfrm>
            <a:off x="9010650" y="38100"/>
            <a:ext cx="2990850" cy="457200"/>
          </a:xfrm>
          <a:prstGeom prst="round2Same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2000"/>
              <a:t>CONTR.</a:t>
            </a:r>
            <a:r>
              <a:rPr lang="pt-BR" sz="2000" baseline="0"/>
              <a:t> EMPRESARIAL</a:t>
            </a:r>
            <a:r>
              <a:rPr lang="pt-BR" sz="2000"/>
              <a:t> EMPRESARIAL</a:t>
            </a:r>
          </a:p>
          <a:p>
            <a:pPr algn="ctr"/>
            <a:endParaRPr lang="pt-BR" sz="2000"/>
          </a:p>
        </xdr:txBody>
      </xdr:sp>
      <xdr:sp macro="" textlink="">
        <xdr:nvSpPr>
          <xdr:cNvPr id="8" name="Retângulo: Cantos Superiores Arredondados 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07035A4-4C1F-409D-8382-943FB0DE8921}"/>
              </a:ext>
            </a:extLst>
          </xdr:cNvPr>
          <xdr:cNvSpPr/>
        </xdr:nvSpPr>
        <xdr:spPr>
          <a:xfrm>
            <a:off x="12020550" y="38100"/>
            <a:ext cx="2990850" cy="457200"/>
          </a:xfrm>
          <a:prstGeom prst="round2Same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2000"/>
              <a:t>DASH. EMPRESARIAL</a:t>
            </a:r>
          </a:p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0</xdr:colOff>
      <xdr:row>49</xdr:row>
      <xdr:rowOff>169333</xdr:rowOff>
    </xdr:from>
    <xdr:to>
      <xdr:col>9</xdr:col>
      <xdr:colOff>31750</xdr:colOff>
      <xdr:row>60</xdr:row>
      <xdr:rowOff>116417</xdr:rowOff>
    </xdr:to>
    <xdr:sp macro="" textlink="">
      <xdr:nvSpPr>
        <xdr:cNvPr id="11" name="Retângulo: Cantos Arredondados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B6DF6FC-2B9B-5606-CAFF-ECDB669DA4B1}"/>
            </a:ext>
          </a:extLst>
        </xdr:cNvPr>
        <xdr:cNvSpPr/>
      </xdr:nvSpPr>
      <xdr:spPr>
        <a:xfrm>
          <a:off x="0" y="9503833"/>
          <a:ext cx="13663083" cy="2042584"/>
        </a:xfrm>
        <a:prstGeom prst="roundRect">
          <a:avLst>
            <a:gd name="adj" fmla="val 3745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b="1"/>
            <a:t>💰 </a:t>
          </a:r>
          <a:r>
            <a:rPr lang="pt-BR" b="1">
              <a:solidFill>
                <a:schemeClr val="tx1"/>
              </a:solidFill>
            </a:rPr>
            <a:t>Bem-vindo ao Modelo de Fluxo de Caixa – Pessoal e Empresarial</a:t>
          </a:r>
        </a:p>
        <a:p>
          <a:endParaRPr lang="pt-BR" b="1">
            <a:solidFill>
              <a:schemeClr val="tx1"/>
            </a:solidFill>
          </a:endParaRPr>
        </a:p>
        <a:p>
          <a:r>
            <a:rPr lang="pt-BR">
              <a:solidFill>
                <a:schemeClr val="tx1"/>
              </a:solidFill>
            </a:rPr>
            <a:t>Esta planilha foi desenvolvida para facilitar o </a:t>
          </a:r>
          <a:r>
            <a:rPr lang="pt-BR" b="1">
              <a:solidFill>
                <a:schemeClr val="tx1"/>
              </a:solidFill>
            </a:rPr>
            <a:t>registro, controle e acompanhamento das movimentações financeiras</a:t>
          </a:r>
          <a:r>
            <a:rPr lang="pt-BR">
              <a:solidFill>
                <a:schemeClr val="tx1"/>
              </a:solidFill>
            </a:rPr>
            <a:t>, tanto pessoais quanto empresariais. Com processos automatizados, ela oferece uma experiência mais </a:t>
          </a:r>
          <a:r>
            <a:rPr lang="pt-BR" b="1">
              <a:solidFill>
                <a:schemeClr val="tx1"/>
              </a:solidFill>
            </a:rPr>
            <a:t>otimizada, intuitiva e prática</a:t>
          </a:r>
          <a:r>
            <a:rPr lang="pt-BR">
              <a:solidFill>
                <a:schemeClr val="tx1"/>
              </a:solidFill>
            </a:rPr>
            <a:t>.</a:t>
          </a:r>
        </a:p>
        <a:p>
          <a:endParaRPr lang="pt-BR"/>
        </a:p>
        <a:p>
          <a:r>
            <a:rPr lang="pt-BR"/>
            <a:t>🎥 </a:t>
          </a:r>
          <a:r>
            <a:rPr lang="pt-BR" b="1">
              <a:solidFill>
                <a:schemeClr val="tx1"/>
              </a:solidFill>
            </a:rPr>
            <a:t>Vídeo tutorial da planilha</a:t>
          </a:r>
          <a:br>
            <a:rPr lang="pt-BR"/>
          </a:br>
          <a:r>
            <a:rPr lang="pt-BR">
              <a:solidFill>
                <a:schemeClr val="tx1"/>
              </a:solidFill>
            </a:rPr>
            <a:t>https://youtube.com/playlist?list=PLtfFpDNcWhhWMgbd3JabgFteBCmthUjv1&amp;si=rK35RT9NlcrLqgSV</a:t>
          </a:r>
        </a:p>
        <a:p>
          <a:endParaRPr lang="pt-BR"/>
        </a:p>
        <a:p>
          <a:r>
            <a:rPr lang="pt-BR"/>
            <a:t>📞 </a:t>
          </a:r>
          <a:r>
            <a:rPr lang="pt-BR" b="1">
              <a:solidFill>
                <a:schemeClr val="tx1"/>
              </a:solidFill>
            </a:rPr>
            <a:t>Dúvidas? Fale conosco:</a:t>
          </a:r>
          <a:br>
            <a:rPr lang="pt-BR"/>
          </a:br>
          <a:r>
            <a:rPr lang="pt-BR">
              <a:solidFill>
                <a:schemeClr val="tx1"/>
              </a:solidFill>
            </a:rPr>
            <a:t>(11) 98961-7890</a:t>
          </a:r>
        </a:p>
        <a:p>
          <a:pPr algn="l"/>
          <a:endParaRPr lang="pt-BR" sz="1100" baseline="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43657</xdr:colOff>
      <xdr:row>4</xdr:row>
      <xdr:rowOff>103982</xdr:rowOff>
    </xdr:from>
    <xdr:to>
      <xdr:col>6</xdr:col>
      <xdr:colOff>1190625</xdr:colOff>
      <xdr:row>7</xdr:row>
      <xdr:rowOff>170657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Mês">
              <a:extLst>
                <a:ext uri="{FF2B5EF4-FFF2-40B4-BE49-F238E27FC236}">
                  <a16:creationId xmlns:a16="http://schemas.microsoft.com/office/drawing/2014/main" id="{039A05E4-86E5-44B8-A190-377565DB816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5970" y="865982"/>
              <a:ext cx="4778374" cy="638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6</xdr:col>
      <xdr:colOff>1373187</xdr:colOff>
      <xdr:row>4</xdr:row>
      <xdr:rowOff>105570</xdr:rowOff>
    </xdr:from>
    <xdr:to>
      <xdr:col>8</xdr:col>
      <xdr:colOff>534987</xdr:colOff>
      <xdr:row>7</xdr:row>
      <xdr:rowOff>130970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Tipo">
              <a:extLst>
                <a:ext uri="{FF2B5EF4-FFF2-40B4-BE49-F238E27FC236}">
                  <a16:creationId xmlns:a16="http://schemas.microsoft.com/office/drawing/2014/main" id="{8F7AB310-3B81-4DFC-A6B2-73B64B676F6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076906" y="867570"/>
              <a:ext cx="3162300" cy="596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8</xdr:col>
      <xdr:colOff>640556</xdr:colOff>
      <xdr:row>4</xdr:row>
      <xdr:rowOff>66675</xdr:rowOff>
    </xdr:from>
    <xdr:to>
      <xdr:col>11</xdr:col>
      <xdr:colOff>285750</xdr:colOff>
      <xdr:row>7</xdr:row>
      <xdr:rowOff>171450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Status ">
              <a:extLst>
                <a:ext uri="{FF2B5EF4-FFF2-40B4-BE49-F238E27FC236}">
                  <a16:creationId xmlns:a16="http://schemas.microsoft.com/office/drawing/2014/main" id="{A9281B85-F537-4C8A-BB49-52E65B0DAB8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344775" y="828675"/>
              <a:ext cx="3248025" cy="676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</xdr:row>
      <xdr:rowOff>0</xdr:rowOff>
    </xdr:from>
    <xdr:to>
      <xdr:col>11</xdr:col>
      <xdr:colOff>1266825</xdr:colOff>
      <xdr:row>3</xdr:row>
      <xdr:rowOff>28575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E4097C0-25E8-413D-8050-21BF8AF7DCC1}"/>
            </a:ext>
          </a:extLst>
        </xdr:cNvPr>
        <xdr:cNvGrpSpPr/>
      </xdr:nvGrpSpPr>
      <xdr:grpSpPr>
        <a:xfrm>
          <a:off x="0" y="190500"/>
          <a:ext cx="20114419" cy="409575"/>
          <a:chOff x="0" y="28575"/>
          <a:chExt cx="15011400" cy="466725"/>
        </a:xfrm>
      </xdr:grpSpPr>
      <xdr:sp macro="" textlink="">
        <xdr:nvSpPr>
          <xdr:cNvPr id="4" name="Retângulo: Cantos Superiores Arredondados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9ECEB05-F134-4B70-6C7F-F1CA8BA42D0A}"/>
              </a:ext>
            </a:extLst>
          </xdr:cNvPr>
          <xdr:cNvSpPr/>
        </xdr:nvSpPr>
        <xdr:spPr>
          <a:xfrm>
            <a:off x="0" y="28575"/>
            <a:ext cx="2990850" cy="457200"/>
          </a:xfrm>
          <a:prstGeom prst="round2Same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400"/>
              <a:t>CADASTRO</a:t>
            </a:r>
          </a:p>
        </xdr:txBody>
      </xdr:sp>
      <xdr:sp macro="" textlink="">
        <xdr:nvSpPr>
          <xdr:cNvPr id="5" name="Retângulo: Cantos Superiores Arredondados 4">
            <a:extLst>
              <a:ext uri="{FF2B5EF4-FFF2-40B4-BE49-F238E27FC236}">
                <a16:creationId xmlns:a16="http://schemas.microsoft.com/office/drawing/2014/main" id="{37F94101-A49C-A90E-FDEE-042272421E6E}"/>
              </a:ext>
            </a:extLst>
          </xdr:cNvPr>
          <xdr:cNvSpPr/>
        </xdr:nvSpPr>
        <xdr:spPr>
          <a:xfrm>
            <a:off x="3000375" y="28575"/>
            <a:ext cx="2990850" cy="457200"/>
          </a:xfrm>
          <a:prstGeom prst="round2SameRect">
            <a:avLst/>
          </a:prstGeom>
          <a:solidFill>
            <a:srgbClr val="00206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2000"/>
              <a:t>CONTROLE</a:t>
            </a:r>
            <a:r>
              <a:rPr lang="pt-BR" sz="2000" baseline="0"/>
              <a:t> PESSOAL</a:t>
            </a:r>
          </a:p>
          <a:p>
            <a:pPr algn="l"/>
            <a:endParaRPr lang="pt-BR" sz="2000"/>
          </a:p>
        </xdr:txBody>
      </xdr:sp>
      <xdr:sp macro="" textlink="">
        <xdr:nvSpPr>
          <xdr:cNvPr id="7" name="Retângulo: Cantos Superiore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71D6DEF-314B-CAB9-DCD8-271180A19931}"/>
              </a:ext>
            </a:extLst>
          </xdr:cNvPr>
          <xdr:cNvSpPr/>
        </xdr:nvSpPr>
        <xdr:spPr>
          <a:xfrm>
            <a:off x="6000750" y="28575"/>
            <a:ext cx="2990850" cy="457200"/>
          </a:xfrm>
          <a:prstGeom prst="round2Same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2000"/>
              <a:t>DASHBOARD PESSOAL</a:t>
            </a:r>
          </a:p>
        </xdr:txBody>
      </xdr:sp>
      <xdr:sp macro="" textlink="">
        <xdr:nvSpPr>
          <xdr:cNvPr id="8" name="Retângulo: Cantos Superiore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358E655-DF1D-1FE5-282A-CFAC5C7B94F4}"/>
              </a:ext>
            </a:extLst>
          </xdr:cNvPr>
          <xdr:cNvSpPr/>
        </xdr:nvSpPr>
        <xdr:spPr>
          <a:xfrm>
            <a:off x="9010650" y="38100"/>
            <a:ext cx="2990850" cy="457200"/>
          </a:xfrm>
          <a:prstGeom prst="round2Same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2000"/>
              <a:t>CONTROLE</a:t>
            </a:r>
            <a:r>
              <a:rPr lang="pt-BR" sz="2000" baseline="0"/>
              <a:t> EMPRESARIAL</a:t>
            </a:r>
            <a:r>
              <a:rPr lang="pt-BR" sz="2000"/>
              <a:t> EMPRESARIAL</a:t>
            </a:r>
          </a:p>
          <a:p>
            <a:pPr algn="ctr"/>
            <a:endParaRPr lang="pt-BR" sz="2000"/>
          </a:p>
        </xdr:txBody>
      </xdr:sp>
      <xdr:sp macro="" textlink="">
        <xdr:nvSpPr>
          <xdr:cNvPr id="9" name="Retângulo: Cantos Superiore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74888A6-6923-C278-72DC-2F51CBCE7211}"/>
              </a:ext>
            </a:extLst>
          </xdr:cNvPr>
          <xdr:cNvSpPr/>
        </xdr:nvSpPr>
        <xdr:spPr>
          <a:xfrm>
            <a:off x="12020550" y="38100"/>
            <a:ext cx="2990850" cy="457200"/>
          </a:xfrm>
          <a:prstGeom prst="round2Same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2000"/>
              <a:t>DASHBOARD EMPRESARIAL</a:t>
            </a:r>
          </a:p>
          <a:p>
            <a:pPr algn="l"/>
            <a:endParaRPr lang="pt-BR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28575</xdr:colOff>
      <xdr:row>4</xdr:row>
      <xdr:rowOff>113386</xdr:rowOff>
    </xdr:from>
    <xdr:to>
      <xdr:col>4</xdr:col>
      <xdr:colOff>1028700</xdr:colOff>
      <xdr:row>7</xdr:row>
      <xdr:rowOff>161925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Mês 1">
              <a:extLst>
                <a:ext uri="{FF2B5EF4-FFF2-40B4-BE49-F238E27FC236}">
                  <a16:creationId xmlns:a16="http://schemas.microsoft.com/office/drawing/2014/main" id="{9D2EF2F8-D175-49E2-8A08-71783B50C54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86050" y="875386"/>
              <a:ext cx="4086225" cy="6200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1066799</xdr:colOff>
      <xdr:row>4</xdr:row>
      <xdr:rowOff>103862</xdr:rowOff>
    </xdr:from>
    <xdr:to>
      <xdr:col>6</xdr:col>
      <xdr:colOff>542924</xdr:colOff>
      <xdr:row>7</xdr:row>
      <xdr:rowOff>152401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Tipo 1">
              <a:extLst>
                <a:ext uri="{FF2B5EF4-FFF2-40B4-BE49-F238E27FC236}">
                  <a16:creationId xmlns:a16="http://schemas.microsoft.com/office/drawing/2014/main" id="{AF5F73A4-015C-4B98-874F-247AEC37093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10374" y="865862"/>
              <a:ext cx="2333625" cy="6200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6</xdr:col>
      <xdr:colOff>638173</xdr:colOff>
      <xdr:row>4</xdr:row>
      <xdr:rowOff>85725</xdr:rowOff>
    </xdr:from>
    <xdr:to>
      <xdr:col>8</xdr:col>
      <xdr:colOff>1238249</xdr:colOff>
      <xdr:row>7</xdr:row>
      <xdr:rowOff>133351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Forma de Pagamento 1">
              <a:extLst>
                <a:ext uri="{FF2B5EF4-FFF2-40B4-BE49-F238E27FC236}">
                  <a16:creationId xmlns:a16="http://schemas.microsoft.com/office/drawing/2014/main" id="{B00C111B-71BA-4B80-99D9-11511E87820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rma de Pagamen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239248" y="847725"/>
              <a:ext cx="4495801" cy="6191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19049</xdr:colOff>
      <xdr:row>4</xdr:row>
      <xdr:rowOff>104775</xdr:rowOff>
    </xdr:from>
    <xdr:to>
      <xdr:col>11</xdr:col>
      <xdr:colOff>28575</xdr:colOff>
      <xdr:row>7</xdr:row>
      <xdr:rowOff>142876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Status  1">
              <a:extLst>
                <a:ext uri="{FF2B5EF4-FFF2-40B4-BE49-F238E27FC236}">
                  <a16:creationId xmlns:a16="http://schemas.microsoft.com/office/drawing/2014/main" id="{CBCB0ACC-8E72-4A94-A2C7-1543965C31E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896974" y="866775"/>
              <a:ext cx="2771776" cy="6096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</xdr:row>
      <xdr:rowOff>0</xdr:rowOff>
    </xdr:from>
    <xdr:to>
      <xdr:col>12</xdr:col>
      <xdr:colOff>38100</xdr:colOff>
      <xdr:row>3</xdr:row>
      <xdr:rowOff>28575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6DB9BEB9-4A73-49DC-9519-696BB56C38C3}"/>
            </a:ext>
          </a:extLst>
        </xdr:cNvPr>
        <xdr:cNvGrpSpPr/>
      </xdr:nvGrpSpPr>
      <xdr:grpSpPr>
        <a:xfrm>
          <a:off x="0" y="190500"/>
          <a:ext cx="18059400" cy="409575"/>
          <a:chOff x="0" y="28575"/>
          <a:chExt cx="15011400" cy="466725"/>
        </a:xfrm>
      </xdr:grpSpPr>
      <xdr:sp macro="" textlink="">
        <xdr:nvSpPr>
          <xdr:cNvPr id="7" name="Retângulo: Cantos Superiores Arredondados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8FE714C-9427-F8F9-3561-A92922A88EC5}"/>
              </a:ext>
            </a:extLst>
          </xdr:cNvPr>
          <xdr:cNvSpPr/>
        </xdr:nvSpPr>
        <xdr:spPr>
          <a:xfrm>
            <a:off x="0" y="28575"/>
            <a:ext cx="2990850" cy="457200"/>
          </a:xfrm>
          <a:prstGeom prst="round2Same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400"/>
              <a:t>CADASTRO</a:t>
            </a:r>
          </a:p>
        </xdr:txBody>
      </xdr:sp>
      <xdr:sp macro="" textlink="">
        <xdr:nvSpPr>
          <xdr:cNvPr id="8" name="Retângulo: Cantos Superiores Arredondados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55D24C-A3BD-3BF0-2E18-A1610C17E230}"/>
              </a:ext>
            </a:extLst>
          </xdr:cNvPr>
          <xdr:cNvSpPr/>
        </xdr:nvSpPr>
        <xdr:spPr>
          <a:xfrm>
            <a:off x="3000375" y="28575"/>
            <a:ext cx="2990850" cy="457200"/>
          </a:xfrm>
          <a:prstGeom prst="round2Same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2000"/>
              <a:t>CONTROLE</a:t>
            </a:r>
            <a:r>
              <a:rPr lang="pt-BR" sz="2000" baseline="0"/>
              <a:t> PESSOAL</a:t>
            </a:r>
          </a:p>
          <a:p>
            <a:pPr algn="l"/>
            <a:endParaRPr lang="pt-BR" sz="2000"/>
          </a:p>
        </xdr:txBody>
      </xdr:sp>
      <xdr:sp macro="" textlink="">
        <xdr:nvSpPr>
          <xdr:cNvPr id="9" name="Retângulo: Cantos Superiores Arredondados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58C53AB-C339-CD63-58E6-40EEC382686B}"/>
              </a:ext>
            </a:extLst>
          </xdr:cNvPr>
          <xdr:cNvSpPr/>
        </xdr:nvSpPr>
        <xdr:spPr>
          <a:xfrm>
            <a:off x="6000750" y="28575"/>
            <a:ext cx="2990850" cy="457200"/>
          </a:xfrm>
          <a:prstGeom prst="round2Same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2000"/>
              <a:t>DASHBOARD PESSOAL</a:t>
            </a:r>
          </a:p>
        </xdr:txBody>
      </xdr:sp>
      <xdr:sp macro="" textlink="">
        <xdr:nvSpPr>
          <xdr:cNvPr id="10" name="Retângulo: Cantos Superiores Arredondados 9">
            <a:extLst>
              <a:ext uri="{FF2B5EF4-FFF2-40B4-BE49-F238E27FC236}">
                <a16:creationId xmlns:a16="http://schemas.microsoft.com/office/drawing/2014/main" id="{329FA099-45E0-70CE-CF3D-A227EDD52A8E}"/>
              </a:ext>
            </a:extLst>
          </xdr:cNvPr>
          <xdr:cNvSpPr/>
        </xdr:nvSpPr>
        <xdr:spPr>
          <a:xfrm>
            <a:off x="9010650" y="38100"/>
            <a:ext cx="2990850" cy="457200"/>
          </a:xfrm>
          <a:prstGeom prst="round2SameRect">
            <a:avLst/>
          </a:prstGeom>
          <a:solidFill>
            <a:srgbClr val="00206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2000"/>
              <a:t>CONTROLE</a:t>
            </a:r>
            <a:r>
              <a:rPr lang="pt-BR" sz="2000" baseline="0"/>
              <a:t> EMPRESARIAL</a:t>
            </a:r>
            <a:r>
              <a:rPr lang="pt-BR" sz="2000"/>
              <a:t> EMPRESARIAL</a:t>
            </a:r>
          </a:p>
          <a:p>
            <a:pPr algn="ctr"/>
            <a:endParaRPr lang="pt-BR" sz="2000"/>
          </a:p>
        </xdr:txBody>
      </xdr:sp>
      <xdr:sp macro="" textlink="">
        <xdr:nvSpPr>
          <xdr:cNvPr id="11" name="Retângulo: Cantos Superiores Arredondados 10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65BF6A0-09DC-9422-AF15-2C3603841F9F}"/>
              </a:ext>
            </a:extLst>
          </xdr:cNvPr>
          <xdr:cNvSpPr/>
        </xdr:nvSpPr>
        <xdr:spPr>
          <a:xfrm>
            <a:off x="12020550" y="38100"/>
            <a:ext cx="2990850" cy="457200"/>
          </a:xfrm>
          <a:prstGeom prst="round2Same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2000"/>
              <a:t>DASHBOARD EMPRESARIAL</a:t>
            </a:r>
          </a:p>
          <a:p>
            <a:pPr algn="l"/>
            <a:endParaRPr lang="pt-BR" sz="11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13607</xdr:colOff>
      <xdr:row>0</xdr:row>
      <xdr:rowOff>35719</xdr:rowOff>
    </xdr:from>
    <xdr:to>
      <xdr:col>37</xdr:col>
      <xdr:colOff>408215</xdr:colOff>
      <xdr:row>41</xdr:row>
      <xdr:rowOff>104670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1E6081-6A36-EB1E-1BB6-380094E429AB}"/>
            </a:ext>
          </a:extLst>
        </xdr:cNvPr>
        <xdr:cNvSpPr/>
      </xdr:nvSpPr>
      <xdr:spPr>
        <a:xfrm>
          <a:off x="13607" y="35719"/>
          <a:ext cx="13491483" cy="8069951"/>
        </a:xfrm>
        <a:prstGeom prst="roundRect">
          <a:avLst>
            <a:gd name="adj" fmla="val 1403"/>
          </a:avLst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30</xdr:col>
      <xdr:colOff>224117</xdr:colOff>
      <xdr:row>1</xdr:row>
      <xdr:rowOff>78440</xdr:rowOff>
    </xdr:from>
    <xdr:to>
      <xdr:col>37</xdr:col>
      <xdr:colOff>156883</xdr:colOff>
      <xdr:row>7</xdr:row>
      <xdr:rowOff>134469</xdr:rowOff>
    </xdr:to>
    <xdr:sp macro="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CE94F046-A21A-4DB4-8059-D01EF41A26C3}"/>
            </a:ext>
          </a:extLst>
        </xdr:cNvPr>
        <xdr:cNvSpPr/>
      </xdr:nvSpPr>
      <xdr:spPr>
        <a:xfrm>
          <a:off x="9491382" y="78440"/>
          <a:ext cx="4527177" cy="1199029"/>
        </a:xfrm>
        <a:prstGeom prst="roundRect">
          <a:avLst>
            <a:gd name="adj" fmla="val 7867"/>
          </a:avLst>
        </a:prstGeom>
        <a:solidFill>
          <a:srgbClr val="FFFF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1064558</xdr:colOff>
      <xdr:row>22</xdr:row>
      <xdr:rowOff>125505</xdr:rowOff>
    </xdr:from>
    <xdr:to>
      <xdr:col>37</xdr:col>
      <xdr:colOff>89647</xdr:colOff>
      <xdr:row>40</xdr:row>
      <xdr:rowOff>112059</xdr:rowOff>
    </xdr:to>
    <xdr:sp macro="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7D4FEC4B-658B-42B1-BED8-3918EDF2EBE7}"/>
            </a:ext>
          </a:extLst>
        </xdr:cNvPr>
        <xdr:cNvSpPr/>
      </xdr:nvSpPr>
      <xdr:spPr>
        <a:xfrm>
          <a:off x="1064558" y="4507005"/>
          <a:ext cx="12886765" cy="3034554"/>
        </a:xfrm>
        <a:prstGeom prst="roundRect">
          <a:avLst>
            <a:gd name="adj" fmla="val 7867"/>
          </a:avLst>
        </a:prstGeom>
        <a:solidFill>
          <a:srgbClr val="FFFF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30</xdr:col>
      <xdr:colOff>551328</xdr:colOff>
      <xdr:row>8</xdr:row>
      <xdr:rowOff>143293</xdr:rowOff>
    </xdr:from>
    <xdr:to>
      <xdr:col>37</xdr:col>
      <xdr:colOff>141195</xdr:colOff>
      <xdr:row>20</xdr:row>
      <xdr:rowOff>165705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2B3FB5E6-FBFF-482B-87D1-3967223E968C}"/>
            </a:ext>
          </a:extLst>
        </xdr:cNvPr>
        <xdr:cNvSpPr/>
      </xdr:nvSpPr>
      <xdr:spPr>
        <a:xfrm>
          <a:off x="9040484" y="1667293"/>
          <a:ext cx="4197586" cy="2689412"/>
        </a:xfrm>
        <a:prstGeom prst="roundRect">
          <a:avLst>
            <a:gd name="adj" fmla="val 7867"/>
          </a:avLst>
        </a:prstGeom>
        <a:solidFill>
          <a:srgbClr val="FFFF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26</xdr:col>
      <xdr:colOff>77319</xdr:colOff>
      <xdr:row>8</xdr:row>
      <xdr:rowOff>145676</xdr:rowOff>
    </xdr:from>
    <xdr:to>
      <xdr:col>30</xdr:col>
      <xdr:colOff>193861</xdr:colOff>
      <xdr:row>20</xdr:row>
      <xdr:rowOff>168088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EFFADC9A-013D-475E-A818-1B9F215B9FBC}"/>
            </a:ext>
          </a:extLst>
        </xdr:cNvPr>
        <xdr:cNvSpPr/>
      </xdr:nvSpPr>
      <xdr:spPr>
        <a:xfrm>
          <a:off x="4780288" y="1669676"/>
          <a:ext cx="4200386" cy="2546537"/>
        </a:xfrm>
        <a:prstGeom prst="roundRect">
          <a:avLst>
            <a:gd name="adj" fmla="val 7867"/>
          </a:avLst>
        </a:prstGeom>
        <a:solidFill>
          <a:srgbClr val="FFFF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1086969</xdr:colOff>
      <xdr:row>9</xdr:row>
      <xdr:rowOff>0</xdr:rowOff>
    </xdr:from>
    <xdr:to>
      <xdr:col>25</xdr:col>
      <xdr:colOff>257734</xdr:colOff>
      <xdr:row>20</xdr:row>
      <xdr:rowOff>145676</xdr:rowOff>
    </xdr:to>
    <xdr:sp macro="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376F4A07-1489-DDB3-1EFD-7B8126E5A549}"/>
            </a:ext>
          </a:extLst>
        </xdr:cNvPr>
        <xdr:cNvSpPr/>
      </xdr:nvSpPr>
      <xdr:spPr>
        <a:xfrm>
          <a:off x="1086969" y="1524000"/>
          <a:ext cx="3765177" cy="2622176"/>
        </a:xfrm>
        <a:prstGeom prst="roundRect">
          <a:avLst>
            <a:gd name="adj" fmla="val 7867"/>
          </a:avLst>
        </a:prstGeom>
        <a:solidFill>
          <a:srgbClr val="FFFF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26</xdr:col>
      <xdr:colOff>95249</xdr:colOff>
      <xdr:row>8</xdr:row>
      <xdr:rowOff>142876</xdr:rowOff>
    </xdr:from>
    <xdr:to>
      <xdr:col>30</xdr:col>
      <xdr:colOff>178594</xdr:colOff>
      <xdr:row>20</xdr:row>
      <xdr:rowOff>123266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75BD0C3-EA1F-7E0C-1590-ED7FF897B0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571500</xdr:colOff>
      <xdr:row>8</xdr:row>
      <xdr:rowOff>107157</xdr:rowOff>
    </xdr:from>
    <xdr:to>
      <xdr:col>37</xdr:col>
      <xdr:colOff>142875</xdr:colOff>
      <xdr:row>20</xdr:row>
      <xdr:rowOff>174591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B9B3499-BF58-6CC7-64EA-DA6BB2DE36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1064559</xdr:colOff>
      <xdr:row>22</xdr:row>
      <xdr:rowOff>148999</xdr:rowOff>
    </xdr:from>
    <xdr:to>
      <xdr:col>37</xdr:col>
      <xdr:colOff>112059</xdr:colOff>
      <xdr:row>40</xdr:row>
      <xdr:rowOff>142876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ACD57C71-C677-9F6E-9506-D7F30FF237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387271</xdr:colOff>
      <xdr:row>1</xdr:row>
      <xdr:rowOff>25874</xdr:rowOff>
    </xdr:from>
    <xdr:to>
      <xdr:col>23</xdr:col>
      <xdr:colOff>352038</xdr:colOff>
      <xdr:row>6</xdr:row>
      <xdr:rowOff>153374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4C138733-4155-B868-818B-BF10AC4E1911}"/>
            </a:ext>
          </a:extLst>
        </xdr:cNvPr>
        <xdr:cNvGrpSpPr/>
      </xdr:nvGrpSpPr>
      <xdr:grpSpPr>
        <a:xfrm>
          <a:off x="692071" y="216374"/>
          <a:ext cx="2555567" cy="1080000"/>
          <a:chOff x="923926" y="96270"/>
          <a:chExt cx="2537883" cy="866775"/>
        </a:xfrm>
        <a:gradFill flip="none" rotWithShape="1">
          <a:gsLst>
            <a:gs pos="0">
              <a:srgbClr val="00B050">
                <a:shade val="30000"/>
                <a:satMod val="115000"/>
              </a:srgbClr>
            </a:gs>
            <a:gs pos="50000">
              <a:srgbClr val="00B050">
                <a:shade val="67500"/>
                <a:satMod val="115000"/>
              </a:srgbClr>
            </a:gs>
            <a:gs pos="100000">
              <a:srgbClr val="00B050">
                <a:shade val="100000"/>
                <a:satMod val="115000"/>
              </a:srgbClr>
            </a:gs>
          </a:gsLst>
          <a:lin ang="2700000" scaled="1"/>
          <a:tileRect/>
        </a:gradFill>
      </xdr:grpSpPr>
      <xdr:sp macro="" textlink="$B$17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FA9FF66E-6F9B-495D-DB90-96A5ED3D5C20}"/>
              </a:ext>
            </a:extLst>
          </xdr:cNvPr>
          <xdr:cNvSpPr>
            <a:spLocks noChangeAspect="1"/>
          </xdr:cNvSpPr>
        </xdr:nvSpPr>
        <xdr:spPr>
          <a:xfrm>
            <a:off x="923926" y="96270"/>
            <a:ext cx="2537883" cy="866775"/>
          </a:xfrm>
          <a:prstGeom prst="roundRect">
            <a:avLst/>
          </a:prstGeom>
          <a:grpFill/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FB311389-0831-419A-8BF2-8F8C26DC5E3D}" type="TxLink">
              <a:rPr lang="en-US" sz="32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R$ 1.000</a:t>
            </a:fld>
            <a:endParaRPr lang="pt-BR" sz="3200">
              <a:solidFill>
                <a:schemeClr val="bg1"/>
              </a:solidFill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68A671D4-E1D0-4A20-F0C9-C589F865C280}"/>
              </a:ext>
            </a:extLst>
          </xdr:cNvPr>
          <xdr:cNvSpPr txBox="1"/>
        </xdr:nvSpPr>
        <xdr:spPr>
          <a:xfrm>
            <a:off x="1416595" y="572605"/>
            <a:ext cx="2019465" cy="24337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800">
                <a:solidFill>
                  <a:schemeClr val="bg1"/>
                </a:solidFill>
              </a:rPr>
              <a:t>ENTRADAS</a:t>
            </a:r>
          </a:p>
        </xdr:txBody>
      </xdr:sp>
    </xdr:grpSp>
    <xdr:clientData/>
  </xdr:twoCellAnchor>
  <xdr:twoCellAnchor>
    <xdr:from>
      <xdr:col>23</xdr:col>
      <xdr:colOff>543539</xdr:colOff>
      <xdr:row>1</xdr:row>
      <xdr:rowOff>30816</xdr:rowOff>
    </xdr:from>
    <xdr:to>
      <xdr:col>27</xdr:col>
      <xdr:colOff>622606</xdr:colOff>
      <xdr:row>6</xdr:row>
      <xdr:rowOff>157202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5F0E4420-B47E-AEF5-D081-2E7FD9C80689}"/>
            </a:ext>
          </a:extLst>
        </xdr:cNvPr>
        <xdr:cNvGrpSpPr/>
      </xdr:nvGrpSpPr>
      <xdr:grpSpPr>
        <a:xfrm>
          <a:off x="3439139" y="221316"/>
          <a:ext cx="2517467" cy="1078886"/>
          <a:chOff x="3738033" y="112939"/>
          <a:chExt cx="2560109" cy="876300"/>
        </a:xfrm>
        <a:gradFill flip="none" rotWithShape="1">
          <a:gsLst>
            <a:gs pos="0">
              <a:srgbClr val="FF0000">
                <a:shade val="30000"/>
                <a:satMod val="115000"/>
              </a:srgbClr>
            </a:gs>
            <a:gs pos="50000">
              <a:srgbClr val="FF0000">
                <a:shade val="67500"/>
                <a:satMod val="115000"/>
              </a:srgbClr>
            </a:gs>
            <a:gs pos="100000">
              <a:srgbClr val="FF0000">
                <a:shade val="100000"/>
                <a:satMod val="115000"/>
              </a:srgbClr>
            </a:gs>
          </a:gsLst>
          <a:lin ang="2700000" scaled="1"/>
          <a:tileRect/>
        </a:gradFill>
      </xdr:grpSpPr>
      <xdr:sp macro="" textlink="$B$18">
        <xdr:nvSpPr>
          <xdr:cNvPr id="11" name="Retângulo: Cantos Arredondados 10">
            <a:extLst>
              <a:ext uri="{FF2B5EF4-FFF2-40B4-BE49-F238E27FC236}">
                <a16:creationId xmlns:a16="http://schemas.microsoft.com/office/drawing/2014/main" id="{9C4DD76E-20FB-4EE8-8975-47DAD6F75E06}"/>
              </a:ext>
            </a:extLst>
          </xdr:cNvPr>
          <xdr:cNvSpPr>
            <a:spLocks/>
          </xdr:cNvSpPr>
        </xdr:nvSpPr>
        <xdr:spPr>
          <a:xfrm>
            <a:off x="3738033" y="112939"/>
            <a:ext cx="2560109" cy="876300"/>
          </a:xfrm>
          <a:prstGeom prst="roundRect">
            <a:avLst/>
          </a:prstGeom>
          <a:grpFill/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fld id="{AAD9FEBA-66B4-45DD-82BE-5C4688F83993}" type="TxLink">
              <a:rPr lang="en-US" sz="32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marL="0" indent="0" algn="ctr"/>
              <a:t>R$ 0</a:t>
            </a:fld>
            <a:endParaRPr lang="pt-BR" sz="3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07222458-8D18-4909-9C49-5996EAE558A2}"/>
              </a:ext>
            </a:extLst>
          </xdr:cNvPr>
          <xdr:cNvSpPr txBox="1"/>
        </xdr:nvSpPr>
        <xdr:spPr>
          <a:xfrm>
            <a:off x="4290108" y="561648"/>
            <a:ext cx="2005396" cy="2612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800">
                <a:solidFill>
                  <a:schemeClr val="bg1"/>
                </a:solidFill>
              </a:rPr>
              <a:t>SAÍDAS</a:t>
            </a:r>
          </a:p>
        </xdr:txBody>
      </xdr:sp>
    </xdr:grpSp>
    <xdr:clientData/>
  </xdr:twoCellAnchor>
  <xdr:twoCellAnchor>
    <xdr:from>
      <xdr:col>27</xdr:col>
      <xdr:colOff>814106</xdr:colOff>
      <xdr:row>1</xdr:row>
      <xdr:rowOff>28902</xdr:rowOff>
    </xdr:from>
    <xdr:to>
      <xdr:col>29</xdr:col>
      <xdr:colOff>852206</xdr:colOff>
      <xdr:row>6</xdr:row>
      <xdr:rowOff>155288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198F1111-A78D-1248-C476-42CDAFE95754}"/>
            </a:ext>
          </a:extLst>
        </xdr:cNvPr>
        <xdr:cNvGrpSpPr/>
      </xdr:nvGrpSpPr>
      <xdr:grpSpPr>
        <a:xfrm>
          <a:off x="6148106" y="219402"/>
          <a:ext cx="2552700" cy="1078886"/>
          <a:chOff x="6512591" y="35574"/>
          <a:chExt cx="2535766" cy="876300"/>
        </a:xfrm>
        <a:gradFill flip="none" rotWithShape="1">
          <a:gsLst>
            <a:gs pos="0">
              <a:srgbClr val="0070C0">
                <a:shade val="30000"/>
                <a:satMod val="115000"/>
              </a:srgbClr>
            </a:gs>
            <a:gs pos="50000">
              <a:srgbClr val="0070C0">
                <a:shade val="67500"/>
                <a:satMod val="115000"/>
              </a:srgbClr>
            </a:gs>
            <a:gs pos="100000">
              <a:srgbClr val="0070C0">
                <a:shade val="100000"/>
                <a:satMod val="115000"/>
              </a:srgbClr>
            </a:gs>
          </a:gsLst>
          <a:lin ang="2700000" scaled="1"/>
          <a:tileRect/>
        </a:gradFill>
      </xdr:grpSpPr>
      <xdr:sp macro="" textlink="$B$19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CFB6B1B1-0441-464D-B9A7-A8A8A794A91C}"/>
              </a:ext>
            </a:extLst>
          </xdr:cNvPr>
          <xdr:cNvSpPr>
            <a:spLocks noChangeAspect="1"/>
          </xdr:cNvSpPr>
        </xdr:nvSpPr>
        <xdr:spPr>
          <a:xfrm>
            <a:off x="6512591" y="35574"/>
            <a:ext cx="2535766" cy="876300"/>
          </a:xfrm>
          <a:prstGeom prst="roundRect">
            <a:avLst/>
          </a:prstGeom>
          <a:grpFill/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fld id="{A3180C85-84D9-42FA-9822-2727BB96544C}" type="TxLink">
              <a:rPr lang="en-US" sz="32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marL="0" indent="0" algn="ctr"/>
              <a:t>R$ 1.000</a:t>
            </a:fld>
            <a:endParaRPr lang="en-US" sz="3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D29C1918-1315-4A83-B831-173AE7AF776B}"/>
              </a:ext>
            </a:extLst>
          </xdr:cNvPr>
          <xdr:cNvSpPr txBox="1"/>
        </xdr:nvSpPr>
        <xdr:spPr>
          <a:xfrm>
            <a:off x="7037872" y="605850"/>
            <a:ext cx="1991822" cy="188012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800">
                <a:solidFill>
                  <a:schemeClr val="bg1"/>
                </a:solidFill>
              </a:rPr>
              <a:t>SALDO</a:t>
            </a:r>
            <a:r>
              <a:rPr lang="pt-BR" sz="1800" baseline="0">
                <a:solidFill>
                  <a:schemeClr val="bg1"/>
                </a:solidFill>
              </a:rPr>
              <a:t> DISPONÍVEL</a:t>
            </a:r>
          </a:p>
        </xdr:txBody>
      </xdr:sp>
    </xdr:grpSp>
    <xdr:clientData/>
  </xdr:twoCellAnchor>
  <xdr:twoCellAnchor editAs="oneCell">
    <xdr:from>
      <xdr:col>27</xdr:col>
      <xdr:colOff>795337</xdr:colOff>
      <xdr:row>3</xdr:row>
      <xdr:rowOff>59529</xdr:rowOff>
    </xdr:from>
    <xdr:to>
      <xdr:col>28</xdr:col>
      <xdr:colOff>223840</xdr:colOff>
      <xdr:row>6</xdr:row>
      <xdr:rowOff>119061</xdr:rowOff>
    </xdr:to>
    <xdr:pic>
      <xdr:nvPicPr>
        <xdr:cNvPr id="32" name="Gráfico 31" descr="Carteira">
          <a:extLst>
            <a:ext uri="{FF2B5EF4-FFF2-40B4-BE49-F238E27FC236}">
              <a16:creationId xmlns:a16="http://schemas.microsoft.com/office/drawing/2014/main" id="{FFA6D3EF-BD2F-E2A2-6B6C-BA9914974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6105525" y="631029"/>
          <a:ext cx="631034" cy="631032"/>
        </a:xfrm>
        <a:prstGeom prst="rect">
          <a:avLst/>
        </a:prstGeom>
      </xdr:spPr>
    </xdr:pic>
    <xdr:clientData/>
  </xdr:twoCellAnchor>
  <xdr:twoCellAnchor editAs="oneCell">
    <xdr:from>
      <xdr:col>21</xdr:col>
      <xdr:colOff>500061</xdr:colOff>
      <xdr:row>3</xdr:row>
      <xdr:rowOff>163512</xdr:rowOff>
    </xdr:from>
    <xdr:to>
      <xdr:col>21</xdr:col>
      <xdr:colOff>1047749</xdr:colOff>
      <xdr:row>6</xdr:row>
      <xdr:rowOff>176212</xdr:rowOff>
    </xdr:to>
    <xdr:pic>
      <xdr:nvPicPr>
        <xdr:cNvPr id="46" name="Gráfico 45" descr="Gráfico de barras com tendência ascendente">
          <a:extLst>
            <a:ext uri="{FF2B5EF4-FFF2-40B4-BE49-F238E27FC236}">
              <a16:creationId xmlns:a16="http://schemas.microsoft.com/office/drawing/2014/main" id="{5915BE53-FEF9-210A-5BCF-23B58FEE8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904874" y="735012"/>
          <a:ext cx="547688" cy="5842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3</xdr:row>
      <xdr:rowOff>142876</xdr:rowOff>
    </xdr:from>
    <xdr:to>
      <xdr:col>25</xdr:col>
      <xdr:colOff>583407</xdr:colOff>
      <xdr:row>6</xdr:row>
      <xdr:rowOff>154782</xdr:rowOff>
    </xdr:to>
    <xdr:pic>
      <xdr:nvPicPr>
        <xdr:cNvPr id="48" name="Gráfico 47" descr="Gráfico de barras com tendência descendente DPE">
          <a:extLst>
            <a:ext uri="{FF2B5EF4-FFF2-40B4-BE49-F238E27FC236}">
              <a16:creationId xmlns:a16="http://schemas.microsoft.com/office/drawing/2014/main" id="{CB1F6D91-9B34-88A6-364C-1B1E1AE51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4095750" y="714376"/>
          <a:ext cx="583407" cy="583406"/>
        </a:xfrm>
        <a:prstGeom prst="rect">
          <a:avLst/>
        </a:prstGeom>
      </xdr:spPr>
    </xdr:pic>
    <xdr:clientData/>
  </xdr:twoCellAnchor>
  <xdr:twoCellAnchor editAs="oneCell">
    <xdr:from>
      <xdr:col>30</xdr:col>
      <xdr:colOff>297656</xdr:colOff>
      <xdr:row>1</xdr:row>
      <xdr:rowOff>107156</xdr:rowOff>
    </xdr:from>
    <xdr:to>
      <xdr:col>37</xdr:col>
      <xdr:colOff>83345</xdr:colOff>
      <xdr:row>7</xdr:row>
      <xdr:rowOff>71437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7" name="Data">
              <a:extLst>
                <a:ext uri="{FF2B5EF4-FFF2-40B4-BE49-F238E27FC236}">
                  <a16:creationId xmlns:a16="http://schemas.microsoft.com/office/drawing/2014/main" id="{398EEF63-94EA-57DC-7A48-4B533E288BA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84469" y="297656"/>
              <a:ext cx="4393407" cy="11072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21</xdr:col>
      <xdr:colOff>28576</xdr:colOff>
      <xdr:row>8</xdr:row>
      <xdr:rowOff>180975</xdr:rowOff>
    </xdr:from>
    <xdr:to>
      <xdr:col>25</xdr:col>
      <xdr:colOff>257175</xdr:colOff>
      <xdr:row>20</xdr:row>
      <xdr:rowOff>152400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785C92E-3769-490C-8514-A2790AC0AB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31</xdr:col>
      <xdr:colOff>125604</xdr:colOff>
      <xdr:row>13</xdr:row>
      <xdr:rowOff>73269</xdr:rowOff>
    </xdr:from>
    <xdr:ext cx="184731" cy="264560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2CCCDDAA-724B-129D-9A6B-6C485792E738}"/>
            </a:ext>
          </a:extLst>
        </xdr:cNvPr>
        <xdr:cNvSpPr txBox="1"/>
      </xdr:nvSpPr>
      <xdr:spPr>
        <a:xfrm>
          <a:off x="9577335" y="233414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37</xdr:col>
      <xdr:colOff>449036</xdr:colOff>
      <xdr:row>0</xdr:row>
      <xdr:rowOff>149678</xdr:rowOff>
    </xdr:from>
    <xdr:to>
      <xdr:col>39</xdr:col>
      <xdr:colOff>244929</xdr:colOff>
      <xdr:row>40</xdr:row>
      <xdr:rowOff>92527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id="{63E287CA-9116-5C3A-B417-105042FA34C3}"/>
            </a:ext>
          </a:extLst>
        </xdr:cNvPr>
        <xdr:cNvGrpSpPr/>
      </xdr:nvGrpSpPr>
      <xdr:grpSpPr>
        <a:xfrm>
          <a:off x="13898336" y="149678"/>
          <a:ext cx="1015093" cy="7448549"/>
          <a:chOff x="13838464" y="149678"/>
          <a:chExt cx="1020536" cy="7426778"/>
        </a:xfrm>
      </xdr:grpSpPr>
      <xdr:sp macro="" textlink="">
        <xdr:nvSpPr>
          <xdr:cNvPr id="42" name="Fluxograma: Atraso 4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B0AC5AFC-DF64-EE48-6B47-7BCFFA834187}"/>
              </a:ext>
            </a:extLst>
          </xdr:cNvPr>
          <xdr:cNvSpPr/>
        </xdr:nvSpPr>
        <xdr:spPr>
          <a:xfrm>
            <a:off x="13838464" y="149678"/>
            <a:ext cx="1020536" cy="1374322"/>
          </a:xfrm>
          <a:prstGeom prst="flowChartDelay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CADASTRO</a:t>
            </a:r>
          </a:p>
        </xdr:txBody>
      </xdr:sp>
      <xdr:sp macro="" textlink="">
        <xdr:nvSpPr>
          <xdr:cNvPr id="54" name="Fluxograma: Atraso 53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580B7617-7BB2-8A09-9719-055EC1DA2B4B}"/>
              </a:ext>
            </a:extLst>
          </xdr:cNvPr>
          <xdr:cNvSpPr/>
        </xdr:nvSpPr>
        <xdr:spPr>
          <a:xfrm>
            <a:off x="13841184" y="1662792"/>
            <a:ext cx="1017816" cy="1374322"/>
          </a:xfrm>
          <a:prstGeom prst="flowChartDelay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CONTROLE PESSOAL</a:t>
            </a:r>
          </a:p>
        </xdr:txBody>
      </xdr:sp>
      <xdr:sp macro="" textlink="">
        <xdr:nvSpPr>
          <xdr:cNvPr id="55" name="Fluxograma: Atraso 54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BF2D6CA2-6087-8B0D-37A3-92CD5E97B271}"/>
              </a:ext>
            </a:extLst>
          </xdr:cNvPr>
          <xdr:cNvSpPr>
            <a:spLocks noChangeAspect="1"/>
          </xdr:cNvSpPr>
        </xdr:nvSpPr>
        <xdr:spPr>
          <a:xfrm>
            <a:off x="13843905" y="3175906"/>
            <a:ext cx="960665" cy="1374322"/>
          </a:xfrm>
          <a:prstGeom prst="flowChartDelay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/>
              <a:t>CONTR.</a:t>
            </a:r>
            <a:r>
              <a:rPr lang="pt-BR" sz="1100" baseline="0"/>
              <a:t> </a:t>
            </a:r>
            <a:r>
              <a:rPr lang="pt-BR" sz="1100"/>
              <a:t>EMPRESAS</a:t>
            </a:r>
          </a:p>
          <a:p>
            <a:pPr algn="l"/>
            <a:endParaRPr lang="pt-BR" sz="1100"/>
          </a:p>
        </xdr:txBody>
      </xdr:sp>
      <xdr:sp macro="" textlink="">
        <xdr:nvSpPr>
          <xdr:cNvPr id="56" name="Fluxograma: Atraso 55">
            <a:extLst>
              <a:ext uri="{FF2B5EF4-FFF2-40B4-BE49-F238E27FC236}">
                <a16:creationId xmlns:a16="http://schemas.microsoft.com/office/drawing/2014/main" id="{6AF9C680-BB2E-92D9-8469-5D494C6D1728}"/>
              </a:ext>
            </a:extLst>
          </xdr:cNvPr>
          <xdr:cNvSpPr/>
        </xdr:nvSpPr>
        <xdr:spPr>
          <a:xfrm>
            <a:off x="13846627" y="4689020"/>
            <a:ext cx="998766" cy="1374322"/>
          </a:xfrm>
          <a:prstGeom prst="flowChartDelay">
            <a:avLst/>
          </a:prstGeom>
          <a:solidFill>
            <a:srgbClr val="00206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/>
              <a:t>DASH.</a:t>
            </a:r>
          </a:p>
          <a:p>
            <a:pPr algn="ctr"/>
            <a:r>
              <a:rPr lang="pt-BR" sz="1100"/>
              <a:t>EMPRESAS</a:t>
            </a:r>
          </a:p>
        </xdr:txBody>
      </xdr:sp>
      <xdr:sp macro="" textlink="">
        <xdr:nvSpPr>
          <xdr:cNvPr id="57" name="Fluxograma: Atraso 56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393AE878-047C-3DDE-0159-E2F54CED6ED0}"/>
              </a:ext>
            </a:extLst>
          </xdr:cNvPr>
          <xdr:cNvSpPr/>
        </xdr:nvSpPr>
        <xdr:spPr>
          <a:xfrm>
            <a:off x="13849348" y="6202134"/>
            <a:ext cx="982438" cy="1374322"/>
          </a:xfrm>
          <a:prstGeom prst="flowChartDelay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DASH.</a:t>
            </a:r>
          </a:p>
          <a:p>
            <a:pPr algn="ctr"/>
            <a:r>
              <a:rPr lang="pt-BR" sz="1100"/>
              <a:t>PESSOAL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188516</xdr:colOff>
      <xdr:row>0</xdr:row>
      <xdr:rowOff>0</xdr:rowOff>
    </xdr:from>
    <xdr:to>
      <xdr:col>44</xdr:col>
      <xdr:colOff>408215</xdr:colOff>
      <xdr:row>45</xdr:row>
      <xdr:rowOff>169332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39114BB-FFA3-46DE-A3FD-A3FA27AAE8F7}"/>
            </a:ext>
          </a:extLst>
        </xdr:cNvPr>
        <xdr:cNvSpPr/>
      </xdr:nvSpPr>
      <xdr:spPr>
        <a:xfrm>
          <a:off x="188516" y="0"/>
          <a:ext cx="13353616" cy="7789332"/>
        </a:xfrm>
        <a:prstGeom prst="roundRect">
          <a:avLst>
            <a:gd name="adj" fmla="val 1403"/>
          </a:avLst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37</xdr:col>
      <xdr:colOff>224117</xdr:colOff>
      <xdr:row>1</xdr:row>
      <xdr:rowOff>78440</xdr:rowOff>
    </xdr:from>
    <xdr:to>
      <xdr:col>44</xdr:col>
      <xdr:colOff>156883</xdr:colOff>
      <xdr:row>7</xdr:row>
      <xdr:rowOff>134469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9A5E628-73B2-450E-9E85-A5809D740A03}"/>
            </a:ext>
          </a:extLst>
        </xdr:cNvPr>
        <xdr:cNvSpPr/>
      </xdr:nvSpPr>
      <xdr:spPr>
        <a:xfrm>
          <a:off x="33799742" y="268940"/>
          <a:ext cx="4540485" cy="1199029"/>
        </a:xfrm>
        <a:prstGeom prst="roundRect">
          <a:avLst>
            <a:gd name="adj" fmla="val 7867"/>
          </a:avLst>
        </a:prstGeom>
        <a:solidFill>
          <a:srgbClr val="FFFF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1064558</xdr:colOff>
      <xdr:row>27</xdr:row>
      <xdr:rowOff>125505</xdr:rowOff>
    </xdr:from>
    <xdr:to>
      <xdr:col>44</xdr:col>
      <xdr:colOff>89647</xdr:colOff>
      <xdr:row>45</xdr:row>
      <xdr:rowOff>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C525837-0116-40CE-9870-4E3DF0FE0A33}"/>
            </a:ext>
          </a:extLst>
        </xdr:cNvPr>
        <xdr:cNvSpPr/>
      </xdr:nvSpPr>
      <xdr:spPr>
        <a:xfrm>
          <a:off x="407333" y="5078505"/>
          <a:ext cx="12788714" cy="3034554"/>
        </a:xfrm>
        <a:prstGeom prst="roundRect">
          <a:avLst>
            <a:gd name="adj" fmla="val 7867"/>
          </a:avLst>
        </a:prstGeom>
        <a:solidFill>
          <a:srgbClr val="FFFF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37</xdr:col>
      <xdr:colOff>551328</xdr:colOff>
      <xdr:row>8</xdr:row>
      <xdr:rowOff>143293</xdr:rowOff>
    </xdr:from>
    <xdr:to>
      <xdr:col>44</xdr:col>
      <xdr:colOff>141195</xdr:colOff>
      <xdr:row>25</xdr:row>
      <xdr:rowOff>165705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D299324-3F6E-4A7C-8DEA-E64CDAA9192F}"/>
            </a:ext>
          </a:extLst>
        </xdr:cNvPr>
        <xdr:cNvSpPr/>
      </xdr:nvSpPr>
      <xdr:spPr>
        <a:xfrm>
          <a:off x="15002114" y="2048293"/>
          <a:ext cx="4229902" cy="2689412"/>
        </a:xfrm>
        <a:prstGeom prst="roundRect">
          <a:avLst>
            <a:gd name="adj" fmla="val 7867"/>
          </a:avLst>
        </a:prstGeom>
        <a:solidFill>
          <a:srgbClr val="FFFF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77319</xdr:colOff>
      <xdr:row>8</xdr:row>
      <xdr:rowOff>145676</xdr:rowOff>
    </xdr:from>
    <xdr:to>
      <xdr:col>37</xdr:col>
      <xdr:colOff>193861</xdr:colOff>
      <xdr:row>25</xdr:row>
      <xdr:rowOff>168088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F85D7B0F-5595-43A6-AA59-4F21D3FC6816}"/>
            </a:ext>
          </a:extLst>
        </xdr:cNvPr>
        <xdr:cNvSpPr/>
      </xdr:nvSpPr>
      <xdr:spPr>
        <a:xfrm>
          <a:off x="4487394" y="2050676"/>
          <a:ext cx="4193242" cy="2689412"/>
        </a:xfrm>
        <a:prstGeom prst="roundRect">
          <a:avLst>
            <a:gd name="adj" fmla="val 7867"/>
          </a:avLst>
        </a:prstGeom>
        <a:solidFill>
          <a:srgbClr val="FFFF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6562</xdr:colOff>
      <xdr:row>9</xdr:row>
      <xdr:rowOff>0</xdr:rowOff>
    </xdr:from>
    <xdr:to>
      <xdr:col>32</xdr:col>
      <xdr:colOff>257734</xdr:colOff>
      <xdr:row>25</xdr:row>
      <xdr:rowOff>145676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6BB74EF3-D8E1-4F5A-AA55-4C7FE0B42AF4}"/>
            </a:ext>
          </a:extLst>
        </xdr:cNvPr>
        <xdr:cNvSpPr/>
      </xdr:nvSpPr>
      <xdr:spPr>
        <a:xfrm>
          <a:off x="6361098" y="2095500"/>
          <a:ext cx="3652957" cy="2622176"/>
        </a:xfrm>
        <a:prstGeom prst="roundRect">
          <a:avLst>
            <a:gd name="adj" fmla="val 7867"/>
          </a:avLst>
        </a:prstGeom>
        <a:solidFill>
          <a:srgbClr val="FFFF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95249</xdr:colOff>
      <xdr:row>8</xdr:row>
      <xdr:rowOff>142876</xdr:rowOff>
    </xdr:from>
    <xdr:to>
      <xdr:col>37</xdr:col>
      <xdr:colOff>178594</xdr:colOff>
      <xdr:row>25</xdr:row>
      <xdr:rowOff>123266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64B538B0-A92D-460F-8383-CFA0F82F8F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1064559</xdr:colOff>
      <xdr:row>27</xdr:row>
      <xdr:rowOff>148999</xdr:rowOff>
    </xdr:from>
    <xdr:to>
      <xdr:col>44</xdr:col>
      <xdr:colOff>112059</xdr:colOff>
      <xdr:row>45</xdr:row>
      <xdr:rowOff>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330BADD0-539A-43DF-81B1-78C2024367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387271</xdr:colOff>
      <xdr:row>1</xdr:row>
      <xdr:rowOff>25874</xdr:rowOff>
    </xdr:from>
    <xdr:to>
      <xdr:col>30</xdr:col>
      <xdr:colOff>352038</xdr:colOff>
      <xdr:row>6</xdr:row>
      <xdr:rowOff>153374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276F8DA8-E143-4FCA-AEEE-22F97E92D0C6}"/>
            </a:ext>
          </a:extLst>
        </xdr:cNvPr>
        <xdr:cNvGrpSpPr/>
      </xdr:nvGrpSpPr>
      <xdr:grpSpPr>
        <a:xfrm>
          <a:off x="387271" y="216374"/>
          <a:ext cx="2555567" cy="1080000"/>
          <a:chOff x="923926" y="96270"/>
          <a:chExt cx="2537883" cy="866775"/>
        </a:xfrm>
        <a:solidFill>
          <a:srgbClr val="92D050"/>
        </a:solidFill>
      </xdr:grpSpPr>
      <xdr:sp macro="" textlink="$B$20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DF7F18D1-5CF3-88F7-3C79-C8AEE7EFD97B}"/>
              </a:ext>
            </a:extLst>
          </xdr:cNvPr>
          <xdr:cNvSpPr>
            <a:spLocks noChangeAspect="1"/>
          </xdr:cNvSpPr>
        </xdr:nvSpPr>
        <xdr:spPr>
          <a:xfrm>
            <a:off x="923926" y="96270"/>
            <a:ext cx="2537883" cy="866775"/>
          </a:xfrm>
          <a:prstGeom prst="roundRect">
            <a:avLst/>
          </a:prstGeom>
          <a:grpFill/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5F870E30-289D-49E7-8EF7-4456E81AAF35}" type="TxLink">
              <a:rPr lang="en-US" sz="32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R$ 800</a:t>
            </a:fld>
            <a:endParaRPr lang="pt-BR" sz="3200">
              <a:solidFill>
                <a:schemeClr val="bg1"/>
              </a:solidFill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63B76964-8604-25D6-D002-68750D2B3FFD}"/>
              </a:ext>
            </a:extLst>
          </xdr:cNvPr>
          <xdr:cNvSpPr txBox="1"/>
        </xdr:nvSpPr>
        <xdr:spPr>
          <a:xfrm>
            <a:off x="1416595" y="572605"/>
            <a:ext cx="2019465" cy="24337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800">
                <a:solidFill>
                  <a:schemeClr val="bg1"/>
                </a:solidFill>
              </a:rPr>
              <a:t>ENTRADAS</a:t>
            </a:r>
          </a:p>
        </xdr:txBody>
      </xdr:sp>
    </xdr:grpSp>
    <xdr:clientData/>
  </xdr:twoCellAnchor>
  <xdr:twoCellAnchor>
    <xdr:from>
      <xdr:col>30</xdr:col>
      <xdr:colOff>535601</xdr:colOff>
      <xdr:row>1</xdr:row>
      <xdr:rowOff>25524</xdr:rowOff>
    </xdr:from>
    <xdr:to>
      <xdr:col>34</xdr:col>
      <xdr:colOff>614668</xdr:colOff>
      <xdr:row>6</xdr:row>
      <xdr:rowOff>151910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9E1C8CC7-D58D-4C59-9EA7-7C453CEC0B69}"/>
            </a:ext>
          </a:extLst>
        </xdr:cNvPr>
        <xdr:cNvGrpSpPr/>
      </xdr:nvGrpSpPr>
      <xdr:grpSpPr>
        <a:xfrm>
          <a:off x="3126401" y="216024"/>
          <a:ext cx="2517467" cy="1078886"/>
          <a:chOff x="3738033" y="112939"/>
          <a:chExt cx="2560109" cy="876300"/>
        </a:xfrm>
        <a:gradFill flip="none" rotWithShape="1">
          <a:gsLst>
            <a:gs pos="0">
              <a:srgbClr val="FF0000">
                <a:shade val="30000"/>
                <a:satMod val="115000"/>
              </a:srgbClr>
            </a:gs>
            <a:gs pos="50000">
              <a:srgbClr val="FF0000">
                <a:shade val="67500"/>
                <a:satMod val="115000"/>
              </a:srgbClr>
            </a:gs>
            <a:gs pos="100000">
              <a:srgbClr val="FF0000">
                <a:shade val="100000"/>
                <a:satMod val="115000"/>
              </a:srgbClr>
            </a:gs>
          </a:gsLst>
          <a:lin ang="2700000" scaled="1"/>
          <a:tileRect/>
        </a:gradFill>
      </xdr:grpSpPr>
      <xdr:sp macro="" textlink="$B$21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F0E003C1-12C1-FFAF-7E21-98DDAE5BBA6E}"/>
              </a:ext>
            </a:extLst>
          </xdr:cNvPr>
          <xdr:cNvSpPr>
            <a:spLocks/>
          </xdr:cNvSpPr>
        </xdr:nvSpPr>
        <xdr:spPr>
          <a:xfrm>
            <a:off x="3738033" y="112939"/>
            <a:ext cx="2560109" cy="876300"/>
          </a:xfrm>
          <a:prstGeom prst="roundRect">
            <a:avLst/>
          </a:prstGeom>
          <a:solidFill>
            <a:srgbClr val="FF6A47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fld id="{5D174F2E-A81E-47E3-A03A-143B0178DB29}" type="TxLink">
              <a:rPr lang="en-US" sz="32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marL="0" indent="0" algn="ctr"/>
              <a:t>R$ 0</a:t>
            </a:fld>
            <a:endParaRPr lang="pt-BR" sz="3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6546A8FB-B94E-8FA2-560C-CED91993C9E9}"/>
              </a:ext>
            </a:extLst>
          </xdr:cNvPr>
          <xdr:cNvSpPr txBox="1"/>
        </xdr:nvSpPr>
        <xdr:spPr>
          <a:xfrm>
            <a:off x="4290108" y="561648"/>
            <a:ext cx="2005396" cy="2612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800">
                <a:solidFill>
                  <a:schemeClr val="bg1"/>
                </a:solidFill>
              </a:rPr>
              <a:t>SAÍDAS</a:t>
            </a:r>
          </a:p>
        </xdr:txBody>
      </xdr:sp>
    </xdr:grpSp>
    <xdr:clientData/>
  </xdr:twoCellAnchor>
  <xdr:twoCellAnchor>
    <xdr:from>
      <xdr:col>34</xdr:col>
      <xdr:colOff>798231</xdr:colOff>
      <xdr:row>1</xdr:row>
      <xdr:rowOff>14941</xdr:rowOff>
    </xdr:from>
    <xdr:to>
      <xdr:col>36</xdr:col>
      <xdr:colOff>836331</xdr:colOff>
      <xdr:row>6</xdr:row>
      <xdr:rowOff>141327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3392FD09-07B2-4820-B337-D039DB51C314}"/>
            </a:ext>
          </a:extLst>
        </xdr:cNvPr>
        <xdr:cNvGrpSpPr/>
      </xdr:nvGrpSpPr>
      <xdr:grpSpPr>
        <a:xfrm>
          <a:off x="5827431" y="205441"/>
          <a:ext cx="2552700" cy="1078886"/>
          <a:chOff x="6536267" y="112939"/>
          <a:chExt cx="2535766" cy="876300"/>
        </a:xfrm>
        <a:gradFill flip="none" rotWithShape="1">
          <a:gsLst>
            <a:gs pos="0">
              <a:srgbClr val="0070C0">
                <a:shade val="30000"/>
                <a:satMod val="115000"/>
              </a:srgbClr>
            </a:gs>
            <a:gs pos="50000">
              <a:srgbClr val="0070C0">
                <a:shade val="67500"/>
                <a:satMod val="115000"/>
              </a:srgbClr>
            </a:gs>
            <a:gs pos="100000">
              <a:srgbClr val="0070C0">
                <a:shade val="100000"/>
                <a:satMod val="115000"/>
              </a:srgbClr>
            </a:gs>
          </a:gsLst>
          <a:lin ang="2700000" scaled="1"/>
          <a:tileRect/>
        </a:gradFill>
      </xdr:grpSpPr>
      <xdr:sp macro="" textlink="$B$22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7F8E8D3E-62FC-3EB6-35E4-C4306281BCC0}"/>
              </a:ext>
            </a:extLst>
          </xdr:cNvPr>
          <xdr:cNvSpPr>
            <a:spLocks noChangeAspect="1"/>
          </xdr:cNvSpPr>
        </xdr:nvSpPr>
        <xdr:spPr>
          <a:xfrm>
            <a:off x="6536267" y="112939"/>
            <a:ext cx="2535766" cy="876300"/>
          </a:xfrm>
          <a:prstGeom prst="roundRect">
            <a:avLst/>
          </a:prstGeom>
          <a:grpFill/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fld id="{E567C359-CA71-4CA4-A058-4855D1A4AE8C}" type="TxLink">
              <a:rPr lang="en-US" sz="32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marL="0" indent="0" algn="ctr"/>
              <a:t>R$ 800</a:t>
            </a:fld>
            <a:endParaRPr lang="en-US" sz="3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1D736CB2-F55D-3F83-3AC8-D79C25FB5DCA}"/>
              </a:ext>
            </a:extLst>
          </xdr:cNvPr>
          <xdr:cNvSpPr txBox="1"/>
        </xdr:nvSpPr>
        <xdr:spPr>
          <a:xfrm>
            <a:off x="7037872" y="605850"/>
            <a:ext cx="1991822" cy="188012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800">
                <a:solidFill>
                  <a:schemeClr val="bg1"/>
                </a:solidFill>
              </a:rPr>
              <a:t>SALDO</a:t>
            </a:r>
            <a:r>
              <a:rPr lang="pt-BR" sz="1800" baseline="0">
                <a:solidFill>
                  <a:schemeClr val="bg1"/>
                </a:solidFill>
              </a:rPr>
              <a:t> DISPONÍVEL</a:t>
            </a:r>
          </a:p>
        </xdr:txBody>
      </xdr:sp>
    </xdr:grpSp>
    <xdr:clientData/>
  </xdr:twoCellAnchor>
  <xdr:twoCellAnchor editAs="oneCell">
    <xdr:from>
      <xdr:col>34</xdr:col>
      <xdr:colOff>786076</xdr:colOff>
      <xdr:row>3</xdr:row>
      <xdr:rowOff>48945</xdr:rowOff>
    </xdr:from>
    <xdr:to>
      <xdr:col>35</xdr:col>
      <xdr:colOff>214576</xdr:colOff>
      <xdr:row>6</xdr:row>
      <xdr:rowOff>108477</xdr:rowOff>
    </xdr:to>
    <xdr:pic>
      <xdr:nvPicPr>
        <xdr:cNvPr id="20" name="Gráfico 19" descr="Carteira">
          <a:extLst>
            <a:ext uri="{FF2B5EF4-FFF2-40B4-BE49-F238E27FC236}">
              <a16:creationId xmlns:a16="http://schemas.microsoft.com/office/drawing/2014/main" id="{F5C35C10-BFFE-41BB-B3CF-F2D040C5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13159" y="620445"/>
          <a:ext cx="624417" cy="631032"/>
        </a:xfrm>
        <a:prstGeom prst="rect">
          <a:avLst/>
        </a:prstGeom>
      </xdr:spPr>
    </xdr:pic>
    <xdr:clientData/>
  </xdr:twoCellAnchor>
  <xdr:twoCellAnchor editAs="oneCell">
    <xdr:from>
      <xdr:col>28</xdr:col>
      <xdr:colOff>459239</xdr:colOff>
      <xdr:row>3</xdr:row>
      <xdr:rowOff>163512</xdr:rowOff>
    </xdr:from>
    <xdr:to>
      <xdr:col>28</xdr:col>
      <xdr:colOff>1006927</xdr:colOff>
      <xdr:row>6</xdr:row>
      <xdr:rowOff>176212</xdr:rowOff>
    </xdr:to>
    <xdr:pic>
      <xdr:nvPicPr>
        <xdr:cNvPr id="21" name="Gráfico 20" descr="Gráfico de barras com tendência ascendente">
          <a:extLst>
            <a:ext uri="{FF2B5EF4-FFF2-40B4-BE49-F238E27FC236}">
              <a16:creationId xmlns:a16="http://schemas.microsoft.com/office/drawing/2014/main" id="{8FDD63FE-1931-4CCB-944F-66A66CB41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3846" y="735012"/>
          <a:ext cx="547688" cy="584200"/>
        </a:xfrm>
        <a:prstGeom prst="rect">
          <a:avLst/>
        </a:prstGeom>
      </xdr:spPr>
    </xdr:pic>
    <xdr:clientData/>
  </xdr:twoCellAnchor>
  <xdr:twoCellAnchor editAs="oneCell">
    <xdr:from>
      <xdr:col>31</xdr:col>
      <xdr:colOff>547687</xdr:colOff>
      <xdr:row>3</xdr:row>
      <xdr:rowOff>166689</xdr:rowOff>
    </xdr:from>
    <xdr:to>
      <xdr:col>32</xdr:col>
      <xdr:colOff>523873</xdr:colOff>
      <xdr:row>6</xdr:row>
      <xdr:rowOff>178595</xdr:rowOff>
    </xdr:to>
    <xdr:pic>
      <xdr:nvPicPr>
        <xdr:cNvPr id="22" name="Gráfico 21" descr="Gráfico de barras com tendência descendente DPE">
          <a:extLst>
            <a:ext uri="{FF2B5EF4-FFF2-40B4-BE49-F238E27FC236}">
              <a16:creationId xmlns:a16="http://schemas.microsoft.com/office/drawing/2014/main" id="{91B37599-021E-4773-97B9-12E57AC15C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8562" y="1119189"/>
          <a:ext cx="585787" cy="583406"/>
        </a:xfrm>
        <a:prstGeom prst="rect">
          <a:avLst/>
        </a:prstGeom>
      </xdr:spPr>
    </xdr:pic>
    <xdr:clientData/>
  </xdr:twoCellAnchor>
  <xdr:oneCellAnchor>
    <xdr:from>
      <xdr:col>38</xdr:col>
      <xdr:colOff>125604</xdr:colOff>
      <xdr:row>13</xdr:row>
      <xdr:rowOff>73269</xdr:rowOff>
    </xdr:from>
    <xdr:ext cx="184731" cy="264560"/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79B0BBFC-4089-4229-9206-E811051AEE6C}"/>
            </a:ext>
          </a:extLst>
        </xdr:cNvPr>
        <xdr:cNvSpPr txBox="1"/>
      </xdr:nvSpPr>
      <xdr:spPr>
        <a:xfrm>
          <a:off x="9574404" y="235926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28</xdr:col>
      <xdr:colOff>0</xdr:colOff>
      <xdr:row>9</xdr:row>
      <xdr:rowOff>13607</xdr:rowOff>
    </xdr:from>
    <xdr:to>
      <xdr:col>32</xdr:col>
      <xdr:colOff>217714</xdr:colOff>
      <xdr:row>25</xdr:row>
      <xdr:rowOff>136071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B9CAFC0D-ABBF-B04D-3AD4-5F35334DC6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37</xdr:col>
      <xdr:colOff>598715</xdr:colOff>
      <xdr:row>8</xdr:row>
      <xdr:rowOff>176893</xdr:rowOff>
    </xdr:from>
    <xdr:to>
      <xdr:col>44</xdr:col>
      <xdr:colOff>108858</xdr:colOff>
      <xdr:row>25</xdr:row>
      <xdr:rowOff>136071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A3CDFA56-B9B0-FFA2-D5D1-970FC5B7D4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44</xdr:col>
      <xdr:colOff>452438</xdr:colOff>
      <xdr:row>0</xdr:row>
      <xdr:rowOff>166687</xdr:rowOff>
    </xdr:from>
    <xdr:to>
      <xdr:col>46</xdr:col>
      <xdr:colOff>258536</xdr:colOff>
      <xdr:row>44</xdr:row>
      <xdr:rowOff>163965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58400FD6-A860-4E76-AA55-827381E7FED9}"/>
            </a:ext>
          </a:extLst>
        </xdr:cNvPr>
        <xdr:cNvGrpSpPr/>
      </xdr:nvGrpSpPr>
      <xdr:grpSpPr>
        <a:xfrm>
          <a:off x="13596938" y="166687"/>
          <a:ext cx="1025298" cy="7426778"/>
          <a:chOff x="13838464" y="149678"/>
          <a:chExt cx="1020536" cy="7426778"/>
        </a:xfrm>
      </xdr:grpSpPr>
      <xdr:sp macro="" textlink="">
        <xdr:nvSpPr>
          <xdr:cNvPr id="41" name="Fluxograma: Atraso 4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58E4FDC6-46DE-E8DE-A800-B1E9DD16AED9}"/>
              </a:ext>
            </a:extLst>
          </xdr:cNvPr>
          <xdr:cNvSpPr/>
        </xdr:nvSpPr>
        <xdr:spPr>
          <a:xfrm>
            <a:off x="13838464" y="149678"/>
            <a:ext cx="1020536" cy="1374322"/>
          </a:xfrm>
          <a:prstGeom prst="flowChartDelay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CADASTRO</a:t>
            </a:r>
          </a:p>
        </xdr:txBody>
      </xdr:sp>
      <xdr:sp macro="" textlink="">
        <xdr:nvSpPr>
          <xdr:cNvPr id="42" name="Fluxograma: Atraso 41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20D0214E-5FF4-65A3-3266-C0C74ADCAEB5}"/>
              </a:ext>
            </a:extLst>
          </xdr:cNvPr>
          <xdr:cNvSpPr/>
        </xdr:nvSpPr>
        <xdr:spPr>
          <a:xfrm>
            <a:off x="13841184" y="1662792"/>
            <a:ext cx="1017816" cy="1374322"/>
          </a:xfrm>
          <a:prstGeom prst="flowChartDelay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CONTROLE PESSOAL</a:t>
            </a:r>
          </a:p>
        </xdr:txBody>
      </xdr:sp>
      <xdr:sp macro="" textlink="">
        <xdr:nvSpPr>
          <xdr:cNvPr id="43" name="Fluxograma: Atraso 42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B3BC743-8E96-92F6-4311-8C255E285EAC}"/>
              </a:ext>
            </a:extLst>
          </xdr:cNvPr>
          <xdr:cNvSpPr/>
        </xdr:nvSpPr>
        <xdr:spPr>
          <a:xfrm>
            <a:off x="13843905" y="3175906"/>
            <a:ext cx="960665" cy="1374322"/>
          </a:xfrm>
          <a:prstGeom prst="flowChartDelay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/>
              <a:t>CONTR.</a:t>
            </a:r>
            <a:r>
              <a:rPr lang="pt-BR" sz="1100" baseline="0"/>
              <a:t> </a:t>
            </a:r>
            <a:r>
              <a:rPr lang="pt-BR" sz="1100"/>
              <a:t>EMPRESAS</a:t>
            </a:r>
          </a:p>
          <a:p>
            <a:pPr algn="l"/>
            <a:endParaRPr lang="pt-BR" sz="1100"/>
          </a:p>
        </xdr:txBody>
      </xdr:sp>
      <xdr:sp macro="" textlink="">
        <xdr:nvSpPr>
          <xdr:cNvPr id="44" name="Fluxograma: Atraso 43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C5ACF017-FD8D-7ED2-FB50-68A1B0534D28}"/>
              </a:ext>
            </a:extLst>
          </xdr:cNvPr>
          <xdr:cNvSpPr/>
        </xdr:nvSpPr>
        <xdr:spPr>
          <a:xfrm>
            <a:off x="13846627" y="4689020"/>
            <a:ext cx="998766" cy="1374322"/>
          </a:xfrm>
          <a:prstGeom prst="flowChartDelay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/>
              <a:t>DASH.</a:t>
            </a:r>
          </a:p>
          <a:p>
            <a:pPr algn="ctr"/>
            <a:r>
              <a:rPr lang="pt-BR" sz="1100"/>
              <a:t>EMPRESAS</a:t>
            </a:r>
          </a:p>
        </xdr:txBody>
      </xdr:sp>
      <xdr:sp macro="" textlink="">
        <xdr:nvSpPr>
          <xdr:cNvPr id="45" name="Fluxograma: Atraso 44">
            <a:extLst>
              <a:ext uri="{FF2B5EF4-FFF2-40B4-BE49-F238E27FC236}">
                <a16:creationId xmlns:a16="http://schemas.microsoft.com/office/drawing/2014/main" id="{3777549B-0421-0D2C-4081-44C7DD7259EF}"/>
              </a:ext>
            </a:extLst>
          </xdr:cNvPr>
          <xdr:cNvSpPr/>
        </xdr:nvSpPr>
        <xdr:spPr>
          <a:xfrm>
            <a:off x="13849348" y="6202134"/>
            <a:ext cx="982438" cy="1374322"/>
          </a:xfrm>
          <a:prstGeom prst="flowChartDelay">
            <a:avLst/>
          </a:prstGeom>
          <a:solidFill>
            <a:srgbClr val="00206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DASH.</a:t>
            </a:r>
          </a:p>
          <a:p>
            <a:pPr algn="ctr"/>
            <a:r>
              <a:rPr lang="pt-BR" sz="1100"/>
              <a:t>PESSOAL</a:t>
            </a:r>
          </a:p>
        </xdr:txBody>
      </xdr:sp>
    </xdr:grpSp>
    <xdr:clientData/>
  </xdr:twoCellAnchor>
  <xdr:twoCellAnchor editAs="oneCell">
    <xdr:from>
      <xdr:col>77</xdr:col>
      <xdr:colOff>409325</xdr:colOff>
      <xdr:row>1</xdr:row>
      <xdr:rowOff>78440</xdr:rowOff>
    </xdr:from>
    <xdr:to>
      <xdr:col>77</xdr:col>
      <xdr:colOff>409325</xdr:colOff>
      <xdr:row>17</xdr:row>
      <xdr:rowOff>126065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Mês 2">
              <a:extLst>
                <a:ext uri="{FF2B5EF4-FFF2-40B4-BE49-F238E27FC236}">
                  <a16:creationId xmlns:a16="http://schemas.microsoft.com/office/drawing/2014/main" id="{AC8B68D5-B52C-46F9-8C8A-EFBDB9D52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432825" y="26894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77</xdr:col>
      <xdr:colOff>561725</xdr:colOff>
      <xdr:row>2</xdr:row>
      <xdr:rowOff>40340</xdr:rowOff>
    </xdr:from>
    <xdr:to>
      <xdr:col>77</xdr:col>
      <xdr:colOff>561725</xdr:colOff>
      <xdr:row>18</xdr:row>
      <xdr:rowOff>87965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Mês 3">
              <a:extLst>
                <a:ext uri="{FF2B5EF4-FFF2-40B4-BE49-F238E27FC236}">
                  <a16:creationId xmlns:a16="http://schemas.microsoft.com/office/drawing/2014/main" id="{EE6DB20D-83A4-4484-A16B-113EDE15BC2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585225" y="42134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37</xdr:col>
      <xdr:colOff>232833</xdr:colOff>
      <xdr:row>1</xdr:row>
      <xdr:rowOff>84667</xdr:rowOff>
    </xdr:from>
    <xdr:to>
      <xdr:col>44</xdr:col>
      <xdr:colOff>148166</xdr:colOff>
      <xdr:row>7</xdr:row>
      <xdr:rowOff>137583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2" name="Mês 4">
              <a:extLst>
                <a:ext uri="{FF2B5EF4-FFF2-40B4-BE49-F238E27FC236}">
                  <a16:creationId xmlns:a16="http://schemas.microsoft.com/office/drawing/2014/main" id="{EBE62127-C3AF-4593-B22C-20D854FA08B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353750" y="275167"/>
              <a:ext cx="4561417" cy="119591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Victor Pires Santos" refreshedDate="46152.778768750002" createdVersion="8" refreshedVersion="8" minRefreshableVersion="3" recordCount="599" xr:uid="{664AFAEA-0755-4158-A72F-5A10E052CBB3}">
  <cacheSource type="worksheet">
    <worksheetSource name="Tabela22"/>
  </cacheSource>
  <cacheFields count="14">
    <cacheField name="Data" numFmtId="14">
      <sharedItems containsNonDate="0" containsDate="1" containsString="0" containsBlank="1" minDate="2025-01-01T00:00:00" maxDate="2026-05-11T00:00:00" count="30">
        <d v="2026-05-10T00:00:00"/>
        <m/>
        <d v="2026-04-03T00:00:00" u="1"/>
        <d v="2026-04-05T00:00:00" u="1"/>
        <d v="2026-05-05T00:00:00" u="1"/>
        <d v="2025-08-03T00:00:00" u="1"/>
        <d v="2025-08-04T00:00:00" u="1"/>
        <d v="2025-01-01T00:00:00" u="1"/>
        <d v="2025-02-01T00:00:00" u="1"/>
        <d v="2025-02-02T00:00:00" u="1"/>
        <d v="2025-01-02T00:00:00" u="1"/>
        <d v="2025-03-03T00:00:00" u="1"/>
        <d v="2025-03-01T00:00:00" u="1"/>
        <d v="2025-04-01T00:00:00" u="1"/>
        <d v="2025-05-01T00:00:00" u="1"/>
        <d v="2025-06-01T00:00:00" u="1"/>
        <d v="2025-07-01T00:00:00" u="1"/>
        <d v="2025-08-01T00:00:00" u="1"/>
        <d v="2025-09-01T00:00:00" u="1"/>
        <d v="2025-10-01T00:00:00" u="1"/>
        <d v="2025-11-01T00:00:00" u="1"/>
        <d v="2025-12-01T00:00:00" u="1"/>
        <d v="2025-06-25T00:00:00" u="1"/>
        <d v="2025-06-27T00:00:00" u="1"/>
        <d v="2025-05-02T00:00:00" u="1"/>
        <d v="2025-05-03T00:00:00" u="1"/>
        <d v="2025-05-04T00:00:00" u="1"/>
        <d v="2025-01-05T00:00:00" u="1"/>
        <d v="2025-01-06T00:00:00" u="1"/>
        <d v="2025-02-25T00:00:00" u="1"/>
      </sharedItems>
      <fieldGroup par="13"/>
    </cacheField>
    <cacheField name="Mês" numFmtId="14">
      <sharedItems count="13">
        <s v="Mai"/>
        <s v=""/>
        <s v="Abr" u="1"/>
        <s v="Ago" u="1"/>
        <s v="Jan" u="1"/>
        <s v="Fev" u="1"/>
        <s v="Mar" u="1"/>
        <s v="Jun" u="1"/>
        <s v="Jul" u="1"/>
        <s v="Set" u="1"/>
        <s v="Out" u="1"/>
        <s v="Nov" u="1"/>
        <s v="Dez" u="1"/>
      </sharedItems>
    </cacheField>
    <cacheField name="Semana" numFmtId="14">
      <sharedItems/>
    </cacheField>
    <cacheField name="Descrição" numFmtId="0">
      <sharedItems containsBlank="1"/>
    </cacheField>
    <cacheField name="Categoria" numFmtId="0">
      <sharedItems containsBlank="1" count="8">
        <s v="Vendas (Produtos)"/>
        <m/>
        <s v="Energia / Água / Aluguel " u="1"/>
        <s v="Fornecedores/Compras" u="1"/>
        <s v="Vendas (Serviços)" u="1"/>
        <s v="Internet / Telefonia " u="1"/>
        <s v="Investimentos" u="1"/>
        <s v="Outros Recebimentos " u="1"/>
      </sharedItems>
    </cacheField>
    <cacheField name="Tipo" numFmtId="0">
      <sharedItems containsBlank="1" count="3">
        <s v="Entrada"/>
        <m/>
        <s v="Saída" u="1"/>
      </sharedItems>
    </cacheField>
    <cacheField name="Valor (R$)" numFmtId="164">
      <sharedItems containsString="0" containsBlank="1" containsNumber="1" containsInteger="1" minValue="1000" maxValue="1000"/>
    </cacheField>
    <cacheField name="Forma de Pagamento/Recebimento" numFmtId="0">
      <sharedItems containsBlank="1"/>
    </cacheField>
    <cacheField name="Status " numFmtId="0">
      <sharedItems containsBlank="1" count="6">
        <s v="Pago"/>
        <m/>
        <s v="Em Análise" u="1"/>
        <s v="Pendente" u="1"/>
        <s v="Recebido" u="1"/>
        <s v="Aguardando Conf." u="1"/>
      </sharedItems>
    </cacheField>
    <cacheField name="Data de Vencimento" numFmtId="14">
      <sharedItems containsNonDate="0" containsString="0" containsBlank="1"/>
    </cacheField>
    <cacheField name="Qtd de Dias p Vencer" numFmtId="0">
      <sharedItems/>
    </cacheField>
    <cacheField name="Observações" numFmtId="0">
      <sharedItems containsNonDate="0" containsString="0" containsBlank="1"/>
    </cacheField>
    <cacheField name="Dias (Data)" numFmtId="0" databaseField="0">
      <fieldGroup base="0">
        <rangePr groupBy="days" startDate="2026-05-10T00:00:00" endDate="2026-05-11T00:00:00"/>
        <groupItems count="368">
          <s v="&lt;10/05/2026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11/05/2026"/>
        </groupItems>
      </fieldGroup>
    </cacheField>
    <cacheField name="Meses (Data)" numFmtId="0" databaseField="0">
      <fieldGroup base="0">
        <rangePr groupBy="months" startDate="2026-05-10T00:00:00" endDate="2026-05-11T00:00:00"/>
        <groupItems count="14">
          <s v="&lt;10/05/2026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1/05/2026"/>
        </groupItems>
      </fieldGroup>
    </cacheField>
  </cacheFields>
  <extLst>
    <ext xmlns:x14="http://schemas.microsoft.com/office/spreadsheetml/2009/9/main" uri="{725AE2AE-9491-48be-B2B4-4EB974FC3084}">
      <x14:pivotCacheDefinition pivotCacheId="204111964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ctor Pires Santos" refreshedDate="46152.778770370373" createdVersion="8" refreshedVersion="8" minRefreshableVersion="3" recordCount="599" xr:uid="{E3737099-58CE-4F07-9AD2-6C0408F96592}">
  <cacheSource type="worksheet">
    <worksheetSource name="Tabela2"/>
  </cacheSource>
  <cacheFields count="12">
    <cacheField name="Data" numFmtId="14">
      <sharedItems containsNonDate="0" containsDate="1" containsString="0" containsBlank="1" minDate="2026-05-10T00:00:00" maxDate="2026-05-11T00:00:00"/>
    </cacheField>
    <cacheField name="Mês" numFmtId="14">
      <sharedItems count="14">
        <s v="Mai"/>
        <s v=""/>
        <s v="Ago" u="1"/>
        <s v="Jan" u="1"/>
        <s v="Fev" u="1"/>
        <s v="Jul" u="1"/>
        <s v="02/012025" u="1"/>
        <s v="Mar" u="1"/>
        <s v="Abr" u="1"/>
        <s v="Jun" u="1"/>
        <s v="Set" u="1"/>
        <s v="Out" u="1"/>
        <s v="Nov" u="1"/>
        <s v="Dez" u="1"/>
      </sharedItems>
    </cacheField>
    <cacheField name="Semana" numFmtId="14">
      <sharedItems/>
    </cacheField>
    <cacheField name="Descrição" numFmtId="0">
      <sharedItems containsBlank="1"/>
    </cacheField>
    <cacheField name="Categoria" numFmtId="0">
      <sharedItems containsBlank="1" count="14">
        <s v="Aluguel / Moradia"/>
        <m/>
        <s v="Salário" u="1"/>
        <s v="Água / Luz / Gás" u="1"/>
        <s v="Supermercado" u="1"/>
        <s v="Vendas de Bens " u="1"/>
        <s v="Educação / Cursos" u="1"/>
        <s v="Saúde / Farmácia " u="1"/>
        <s v="Venda de Serviços" u="1"/>
        <s v="Internet / casa / celular" u="1"/>
        <s v="Reembolso" u="1"/>
        <s v="Venda de Produtos" u="1"/>
        <s v="Assinaturas (Netflix, Spotify, etc)" u="1"/>
        <s v="Renda Extra " u="1"/>
      </sharedItems>
    </cacheField>
    <cacheField name="Tipo" numFmtId="0">
      <sharedItems containsBlank="1" count="3">
        <s v="Saída"/>
        <m/>
        <s v="Entrada" u="1"/>
      </sharedItems>
    </cacheField>
    <cacheField name="Valor (R$)" numFmtId="164">
      <sharedItems containsString="0" containsBlank="1" containsNumber="1" containsInteger="1" minValue="800" maxValue="800"/>
    </cacheField>
    <cacheField name="Forma de Pagamento/Recebimento" numFmtId="0">
      <sharedItems containsBlank="1"/>
    </cacheField>
    <cacheField name="Status " numFmtId="0">
      <sharedItems containsBlank="1" count="5">
        <s v="Pendente"/>
        <m/>
        <s v="Em Análise" u="1"/>
        <s v="Recebido" u="1"/>
        <s v="Pago" u="1"/>
      </sharedItems>
    </cacheField>
    <cacheField name="Data de Vencimento" numFmtId="14">
      <sharedItems containsNonDate="0" containsDate="1" containsString="0" containsBlank="1" minDate="2026-05-18T00:00:00" maxDate="2026-05-19T00:00:00"/>
    </cacheField>
    <cacheField name="Qtd de Dias p Vencer" numFmtId="0">
      <sharedItems containsBlank="1"/>
    </cacheField>
    <cacheField name="Observaçõ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38741702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9">
  <r>
    <x v="0"/>
    <x v="0"/>
    <s v="Dom"/>
    <s v="Venda"/>
    <x v="0"/>
    <x v="0"/>
    <n v="1000"/>
    <s v="Dinheiro"/>
    <x v="0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  <r>
    <x v="1"/>
    <x v="1"/>
    <s v=""/>
    <m/>
    <x v="1"/>
    <x v="1"/>
    <m/>
    <m/>
    <x v="1"/>
    <m/>
    <s v=" 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9">
  <r>
    <d v="2026-05-10T00:00:00"/>
    <x v="0"/>
    <s v="Dom"/>
    <s v="Aluguel"/>
    <x v="0"/>
    <x v="0"/>
    <n v="800"/>
    <s v="Transferência Bancária "/>
    <x v="0"/>
    <d v="2026-05-18T00:00:00"/>
    <s v="8 Dias para Vencer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m/>
    <m/>
  </r>
  <r>
    <m/>
    <x v="1"/>
    <s v=""/>
    <m/>
    <x v="1"/>
    <x v="1"/>
    <m/>
    <m/>
    <x v="1"/>
    <m/>
    <m/>
    <m/>
  </r>
  <r>
    <m/>
    <x v="1"/>
    <s v=""/>
    <m/>
    <x v="1"/>
    <x v="1"/>
    <m/>
    <m/>
    <x v="1"/>
    <m/>
    <m/>
    <m/>
  </r>
  <r>
    <m/>
    <x v="1"/>
    <s v=""/>
    <m/>
    <x v="1"/>
    <x v="1"/>
    <m/>
    <m/>
    <x v="1"/>
    <m/>
    <m/>
    <m/>
  </r>
  <r>
    <m/>
    <x v="1"/>
    <s v=""/>
    <m/>
    <x v="1"/>
    <x v="1"/>
    <m/>
    <m/>
    <x v="1"/>
    <m/>
    <m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  <r>
    <m/>
    <x v="1"/>
    <s v=""/>
    <m/>
    <x v="1"/>
    <x v="1"/>
    <m/>
    <m/>
    <x v="1"/>
    <m/>
    <s v=" 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08DDE3-1680-4D8C-A12C-282A50723045}" name="Tabela dinâmica6" cacheId="77" applyNumberFormats="0" applyBorderFormats="0" applyFontFormats="0" applyPatternFormats="0" applyAlignmentFormats="0" applyWidthHeightFormats="1" dataCaption="Valores" updatedVersion="8" minRefreshableVersion="5" useAutoFormatting="1" rowGrandTotals="0" colGrandTotals="0" itemPrintTitles="1" createdVersion="8" indent="0" outline="1" outlineData="1" multipleFieldFilters="0" chartFormat="7">
  <location ref="P1:Q3" firstHeaderRow="1" firstDataRow="1" firstDataCol="1"/>
  <pivotFields count="14">
    <pivotField showAll="0">
      <items count="31">
        <item m="1" x="7"/>
        <item m="1" x="8"/>
        <item m="1" x="12"/>
        <item m="1" x="13"/>
        <item m="1" x="14"/>
        <item m="1" x="24"/>
        <item m="1" x="25"/>
        <item m="1" x="26"/>
        <item x="1"/>
        <item m="1" x="27"/>
        <item m="1" x="28"/>
        <item m="1" x="29"/>
        <item m="1" x="22"/>
        <item m="1" x="23"/>
        <item m="1" x="16"/>
        <item m="1" x="15"/>
        <item m="1" x="17"/>
        <item m="1" x="18"/>
        <item m="1" x="19"/>
        <item m="1" x="20"/>
        <item m="1" x="21"/>
        <item m="1" x="10"/>
        <item m="1" x="11"/>
        <item m="1" x="9"/>
        <item m="1" x="5"/>
        <item m="1" x="6"/>
        <item m="1" x="2"/>
        <item m="1" x="4"/>
        <item m="1" x="3"/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7">
        <item x="0"/>
        <item m="1" x="3"/>
        <item m="1" x="4"/>
        <item x="1"/>
        <item m="1" x="5"/>
        <item m="1" x="2"/>
        <item t="default"/>
      </items>
    </pivotField>
    <pivotField showAll="0"/>
    <pivotField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8"/>
  </rowFields>
  <rowItems count="2">
    <i>
      <x/>
    </i>
    <i>
      <x v="3"/>
    </i>
  </rowItems>
  <colItems count="1">
    <i/>
  </colItems>
  <dataFields count="1">
    <dataField name="Soma de Valor (R$)" fld="6" baseField="0" baseItem="0" numFmtId="165"/>
  </dataFields>
  <formats count="1">
    <format dxfId="32">
      <pivotArea outline="0" collapsedLevelsAreSubtotals="1" fieldPosition="0"/>
    </format>
  </formats>
  <chartFormats count="7">
    <chartFormat chart="6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4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6" format="15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6" format="16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6" format="17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6" format="18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9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49B13D-A8DB-48DA-B2F1-C351D0ACB8ED}" name="Tabela dinâmica3" cacheId="77" applyNumberFormats="0" applyBorderFormats="0" applyFontFormats="0" applyPatternFormats="0" applyAlignmentFormats="0" applyWidthHeightFormats="1" dataCaption="Valores" updatedVersion="8" minRefreshableVersion="5" useAutoFormatting="1" rowGrandTotals="0" colGrandTotals="0" itemPrintTitles="1" createdVersion="8" indent="0" outline="1" outlineData="1" multipleFieldFilters="0" rowHeaderCaption="CATEGORIA">
  <location ref="H1:I3" firstHeaderRow="1" firstDataRow="2" firstDataCol="1"/>
  <pivotFields count="14">
    <pivotField showAll="0">
      <items count="31">
        <item m="1" x="7"/>
        <item m="1" x="8"/>
        <item m="1" x="12"/>
        <item x="1"/>
        <item m="1" x="13"/>
        <item m="1" x="14"/>
        <item m="1" x="24"/>
        <item m="1" x="25"/>
        <item m="1" x="26"/>
        <item m="1" x="27"/>
        <item m="1" x="28"/>
        <item m="1" x="29"/>
        <item m="1" x="22"/>
        <item m="1" x="23"/>
        <item m="1" x="16"/>
        <item m="1" x="15"/>
        <item m="1" x="17"/>
        <item m="1" x="18"/>
        <item m="1" x="19"/>
        <item m="1" x="20"/>
        <item m="1" x="21"/>
        <item m="1" x="10"/>
        <item m="1" x="11"/>
        <item m="1" x="9"/>
        <item m="1" x="5"/>
        <item m="1" x="6"/>
        <item m="1" x="2"/>
        <item m="1" x="4"/>
        <item m="1" x="3"/>
        <item x="0"/>
        <item t="default"/>
      </items>
    </pivotField>
    <pivotField showAll="0"/>
    <pivotField showAll="0"/>
    <pivotField showAll="0"/>
    <pivotField axis="axisRow" showAll="0">
      <items count="9">
        <item m="1" x="5"/>
        <item x="0"/>
        <item m="1" x="4"/>
        <item x="1"/>
        <item m="1" x="3"/>
        <item m="1" x="7"/>
        <item m="1" x="6"/>
        <item m="1" x="2"/>
        <item t="default"/>
      </items>
    </pivotField>
    <pivotField axis="axisCol" showAll="0">
      <items count="4">
        <item x="0"/>
        <item h="1" m="1" x="2"/>
        <item h="1"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4"/>
  </rowFields>
  <rowItems count="1">
    <i>
      <x v="1"/>
    </i>
  </rowItems>
  <colFields count="1">
    <field x="5"/>
  </colFields>
  <colItems count="1">
    <i>
      <x/>
    </i>
  </colItems>
  <dataFields count="1">
    <dataField name="Soma de Valor (R$)" fld="6" baseField="0" baseItem="0" numFmtId="165"/>
  </dataFields>
  <formats count="1">
    <format dxfId="33">
      <pivotArea outline="0" collapsedLevelsAreSubtotals="1" fieldPosition="0"/>
    </format>
  </formats>
  <chartFormats count="4"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B4F0A0-A8D5-4E55-8D34-6591B2C9DA9C}" name="Tabela dinâmica1" cacheId="77" applyNumberFormats="0" applyBorderFormats="0" applyFontFormats="0" applyPatternFormats="0" applyAlignmentFormats="0" applyWidthHeightFormats="1" dataCaption="Valores" updatedVersion="8" minRefreshableVersion="5" useAutoFormatting="1" rowGrandTotals="0" colGrandTotals="0" itemPrintTitles="1" createdVersion="8" indent="0" outline="1" outlineData="1" multipleFieldFilters="0" chartFormat="2">
  <location ref="A1:B3" firstHeaderRow="1" firstDataRow="2" firstDataCol="1"/>
  <pivotFields count="14">
    <pivotField showAll="0">
      <items count="31">
        <item m="1" x="7"/>
        <item m="1" x="8"/>
        <item m="1" x="12"/>
        <item x="1"/>
        <item m="1" x="13"/>
        <item m="1" x="14"/>
        <item m="1" x="24"/>
        <item m="1" x="25"/>
        <item m="1" x="26"/>
        <item m="1" x="27"/>
        <item m="1" x="28"/>
        <item m="1" x="29"/>
        <item m="1" x="22"/>
        <item m="1" x="23"/>
        <item m="1" x="16"/>
        <item m="1" x="15"/>
        <item m="1" x="17"/>
        <item m="1" x="18"/>
        <item m="1" x="19"/>
        <item m="1" x="20"/>
        <item m="1" x="21"/>
        <item m="1" x="10"/>
        <item m="1" x="11"/>
        <item m="1" x="9"/>
        <item m="1" x="5"/>
        <item m="1" x="6"/>
        <item m="1" x="2"/>
        <item m="1" x="4"/>
        <item m="1" x="3"/>
        <item x="0"/>
        <item t="default"/>
      </items>
    </pivotField>
    <pivotField axis="axisRow" showAll="0">
      <items count="14">
        <item m="1" x="4"/>
        <item m="1" x="5"/>
        <item m="1" x="6"/>
        <item x="1"/>
        <item m="1" x="2"/>
        <item x="0"/>
        <item m="1" x="7"/>
        <item m="1" x="8"/>
        <item m="1" x="3"/>
        <item m="1" x="9"/>
        <item m="1" x="10"/>
        <item m="1" x="11"/>
        <item m="1" x="12"/>
        <item t="default"/>
      </items>
    </pivotField>
    <pivotField showAll="0"/>
    <pivotField showAll="0"/>
    <pivotField showAll="0"/>
    <pivotField axis="axisCol" showAll="0">
      <items count="4">
        <item x="0"/>
        <item m="1" x="2"/>
        <item h="1"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"/>
  </rowFields>
  <rowItems count="1">
    <i>
      <x v="5"/>
    </i>
  </rowItems>
  <colFields count="1">
    <field x="5"/>
  </colFields>
  <colItems count="1">
    <i>
      <x/>
    </i>
  </colItems>
  <dataFields count="1">
    <dataField name="Soma de Valor (R$)" fld="6" baseField="0" baseItem="0" numFmtId="165"/>
  </dataFields>
  <formats count="5">
    <format dxfId="38">
      <pivotArea outline="0" collapsedLevelsAreSubtotals="1" fieldPosition="0"/>
    </format>
    <format dxfId="37">
      <pivotArea outline="0" collapsedLevelsAreSubtotals="1" fieldPosition="0"/>
    </format>
    <format dxfId="36">
      <pivotArea outline="0" collapsedLevelsAreSubtotals="1" fieldPosition="0"/>
    </format>
    <format dxfId="35">
      <pivotArea outline="0" collapsedLevelsAreSubtotals="1" fieldPosition="0"/>
    </format>
    <format dxfId="34">
      <pivotArea dataOnly="0" labelOnly="1" fieldPosition="0">
        <references count="1">
          <reference field="1" count="11">
            <x v="0"/>
            <x v="1"/>
            <x v="2"/>
            <x v="4"/>
            <x v="5"/>
            <x v="6"/>
            <x v="7"/>
            <x v="8"/>
            <x v="9"/>
            <x v="10"/>
            <x v="11"/>
          </reference>
        </references>
      </pivotArea>
    </format>
  </formats>
  <chartFormats count="3"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21C04B-9651-4460-893E-285B765F4675}" name="Tabela dinâmica10" cacheId="77" applyNumberFormats="0" applyBorderFormats="0" applyFontFormats="0" applyPatternFormats="0" applyAlignmentFormats="0" applyWidthHeightFormats="1" dataCaption="Valores" updatedVersion="8" minRefreshableVersion="5" useAutoFormatting="1" rowGrandTotals="0" colGrandTotals="0" itemPrintTitles="1" createdVersion="8" indent="0" outline="1" outlineData="1" multipleFieldFilters="0" chartFormat="2">
  <location ref="L1:M2" firstHeaderRow="1" firstDataRow="2" firstDataCol="1"/>
  <pivotFields count="14">
    <pivotField showAll="0">
      <items count="31">
        <item m="1" x="7"/>
        <item m="1" x="8"/>
        <item m="1" x="12"/>
        <item m="1" x="13"/>
        <item x="1"/>
        <item m="1" x="14"/>
        <item m="1" x="24"/>
        <item m="1" x="25"/>
        <item m="1" x="26"/>
        <item m="1" x="27"/>
        <item m="1" x="28"/>
        <item m="1" x="29"/>
        <item m="1" x="22"/>
        <item m="1" x="23"/>
        <item m="1" x="16"/>
        <item m="1" x="15"/>
        <item m="1" x="17"/>
        <item m="1" x="18"/>
        <item m="1" x="19"/>
        <item m="1" x="20"/>
        <item m="1" x="21"/>
        <item m="1" x="10"/>
        <item m="1" x="11"/>
        <item m="1" x="9"/>
        <item m="1" x="5"/>
        <item m="1" x="6"/>
        <item m="1" x="2"/>
        <item m="1" x="4"/>
        <item m="1" x="3"/>
        <item x="0"/>
        <item t="default"/>
      </items>
    </pivotField>
    <pivotField showAll="0"/>
    <pivotField showAll="0"/>
    <pivotField showAll="0"/>
    <pivotField axis="axisRow" showAll="0">
      <items count="9">
        <item m="1" x="3"/>
        <item m="1" x="5"/>
        <item x="0"/>
        <item m="1" x="4"/>
        <item x="1"/>
        <item m="1" x="7"/>
        <item m="1" x="6"/>
        <item m="1" x="2"/>
        <item t="default"/>
      </items>
    </pivotField>
    <pivotField axis="axisCol" showAll="0">
      <items count="4">
        <item h="1" x="0"/>
        <item m="1" x="2"/>
        <item h="1"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4"/>
  </rowFields>
  <colFields count="1">
    <field x="5"/>
  </colFields>
  <dataFields count="1">
    <dataField name="Soma de Valor (R$)" fld="6" baseField="0" baseItem="0" numFmtId="165"/>
  </dataFields>
  <formats count="3">
    <format dxfId="41">
      <pivotArea outline="0" collapsedLevelsAreSubtotals="1" fieldPosition="0"/>
    </format>
    <format dxfId="40">
      <pivotArea outline="0" collapsedLevelsAreSubtotals="1" fieldPosition="0"/>
    </format>
    <format dxfId="39">
      <pivotArea outline="0" collapsedLevelsAreSubtotals="1" fieldPosition="0"/>
    </format>
  </formats>
  <chartFormats count="1"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AF0F97-5D85-49EB-B859-24D111BEAD67}" name="Tabela dinâmica5" cacheId="84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2">
  <location ref="L1:M3" firstHeaderRow="1" firstDataRow="2" firstDataCol="1"/>
  <pivotFields count="12">
    <pivotField showAll="0"/>
    <pivotField showAll="0"/>
    <pivotField showAll="0"/>
    <pivotField showAll="0"/>
    <pivotField axis="axisRow" showAll="0">
      <items count="15">
        <item x="0"/>
        <item m="1" x="12"/>
        <item m="1" x="5"/>
        <item x="1"/>
        <item m="1" x="13"/>
        <item m="1" x="11"/>
        <item m="1" x="3"/>
        <item m="1" x="9"/>
        <item m="1" x="10"/>
        <item m="1" x="8"/>
        <item m="1" x="7"/>
        <item m="1" x="6"/>
        <item m="1" x="4"/>
        <item m="1" x="2"/>
        <item t="default"/>
      </items>
    </pivotField>
    <pivotField axis="axisCol" showAll="0">
      <items count="4">
        <item h="1" m="1" x="2"/>
        <item x="0"/>
        <item h="1" x="1"/>
        <item t="default"/>
      </items>
    </pivotField>
    <pivotField dataField="1" showAll="0"/>
    <pivotField showAll="0"/>
    <pivotField showAll="0"/>
    <pivotField showAll="0"/>
    <pivotField showAll="0"/>
    <pivotField showAll="0"/>
  </pivotFields>
  <rowFields count="1">
    <field x="4"/>
  </rowFields>
  <rowItems count="1">
    <i>
      <x/>
    </i>
  </rowItems>
  <colFields count="1">
    <field x="5"/>
  </colFields>
  <colItems count="1">
    <i>
      <x v="1"/>
    </i>
  </colItems>
  <dataFields count="1">
    <dataField name="Soma de Valor (R$)" fld="6" baseField="0" baseItem="0" numFmtId="165"/>
  </dataFields>
  <formats count="2">
    <format dxfId="22">
      <pivotArea collapsedLevelsAreSubtotals="1" fieldPosition="0">
        <references count="1">
          <reference field="4" count="2">
            <x v="0"/>
            <x v="1"/>
          </reference>
        </references>
      </pivotArea>
    </format>
    <format dxfId="21">
      <pivotArea outline="0" collapsedLevelsAreSubtotals="1" fieldPosition="0"/>
    </format>
  </format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3C36CA-BE47-46F5-94D4-93A658BC558E}" name="Tabela dinâmica4" cacheId="84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4">
  <location ref="X1:Y3" firstHeaderRow="1" firstDataRow="1" firstDataCol="1"/>
  <pivotFields count="12"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6">
        <item m="1" x="2"/>
        <item x="0"/>
        <item m="1" x="3"/>
        <item x="1"/>
        <item m="1" x="4"/>
        <item t="default"/>
      </items>
    </pivotField>
    <pivotField showAll="0"/>
    <pivotField showAll="0"/>
    <pivotField showAll="0"/>
  </pivotFields>
  <rowFields count="1">
    <field x="8"/>
  </rowFields>
  <rowItems count="2">
    <i>
      <x v="1"/>
    </i>
    <i>
      <x v="3"/>
    </i>
  </rowItems>
  <colItems count="1">
    <i/>
  </colItems>
  <dataFields count="1">
    <dataField name="Soma de Valor (R$)" fld="6" baseField="0" baseItem="0" numFmtId="165"/>
  </dataFields>
  <formats count="3">
    <format dxfId="25">
      <pivotArea outline="0" collapsedLevelsAreSubtotals="1" fieldPosition="0"/>
    </format>
    <format dxfId="24">
      <pivotArea outline="0" collapsedLevelsAreSubtotals="1" fieldPosition="0"/>
    </format>
    <format dxfId="23">
      <pivotArea outline="0" collapsedLevelsAreSubtotals="1" fieldPosition="0"/>
    </format>
  </formats>
  <chartFormats count="7">
    <chartFormat chart="4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4" format="13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3E5F04-6740-4467-A7EF-8D2BD08E4AAC}" name="Tabela dinâmica1" cacheId="84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A1:B3" firstHeaderRow="1" firstDataRow="2" firstDataCol="1"/>
  <pivotFields count="12">
    <pivotField showAll="0"/>
    <pivotField axis="axisRow" showAll="0">
      <items count="15">
        <item m="1" x="3"/>
        <item m="1" x="4"/>
        <item m="1" x="7"/>
        <item m="1" x="8"/>
        <item x="0"/>
        <item m="1" x="9"/>
        <item m="1" x="5"/>
        <item m="1" x="2"/>
        <item m="1" x="10"/>
        <item m="1" x="11"/>
        <item m="1" x="12"/>
        <item m="1" x="13"/>
        <item x="1"/>
        <item m="1" x="6"/>
        <item t="default"/>
      </items>
    </pivotField>
    <pivotField showAll="0"/>
    <pivotField showAll="0"/>
    <pivotField showAll="0"/>
    <pivotField axis="axisCol" showAll="0">
      <items count="4">
        <item m="1" x="2"/>
        <item x="0"/>
        <item h="1" x="1"/>
        <item t="default"/>
      </items>
    </pivotField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4"/>
    </i>
  </rowItems>
  <colFields count="1">
    <field x="5"/>
  </colFields>
  <colItems count="1">
    <i>
      <x v="1"/>
    </i>
  </colItems>
  <dataFields count="1">
    <dataField name="Soma de Valor (R$)" fld="6" baseField="0" baseItem="0"/>
  </dataFields>
  <formats count="1">
    <format dxfId="26">
      <pivotArea collapsedLevelsAreSubtotals="1" fieldPosition="0">
        <references count="2">
          <reference field="1" count="2">
            <x v="0"/>
            <x v="1"/>
          </reference>
          <reference field="5" count="2" selected="0">
            <x v="0"/>
            <x v="1"/>
          </reference>
        </references>
      </pivotArea>
    </format>
  </formats>
  <chartFormats count="3"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CC6940-1CCE-4C58-9A56-900FD007E6CC}" name="Tabela dinâmica3" cacheId="84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2">
  <location ref="G1:H2" firstHeaderRow="1" firstDataRow="2" firstDataCol="1"/>
  <pivotFields count="12">
    <pivotField showAll="0"/>
    <pivotField showAll="0"/>
    <pivotField showAll="0"/>
    <pivotField showAll="0"/>
    <pivotField axis="axisRow" showAll="0">
      <items count="15">
        <item x="0"/>
        <item m="1" x="12"/>
        <item m="1" x="5"/>
        <item x="1"/>
        <item m="1" x="13"/>
        <item m="1" x="11"/>
        <item m="1" x="3"/>
        <item m="1" x="9"/>
        <item m="1" x="10"/>
        <item m="1" x="8"/>
        <item m="1" x="7"/>
        <item m="1" x="6"/>
        <item m="1" x="4"/>
        <item m="1" x="2"/>
        <item t="default"/>
      </items>
    </pivotField>
    <pivotField axis="axisCol" showAll="0">
      <items count="4">
        <item m="1" x="2"/>
        <item h="1" x="0"/>
        <item h="1" x="1"/>
        <item t="default"/>
      </items>
    </pivotField>
    <pivotField dataField="1" showAll="0"/>
    <pivotField showAll="0"/>
    <pivotField showAll="0"/>
    <pivotField showAll="0"/>
    <pivotField showAll="0"/>
    <pivotField showAll="0"/>
  </pivotFields>
  <rowFields count="1">
    <field x="4"/>
  </rowFields>
  <colFields count="1">
    <field x="5"/>
  </colFields>
  <dataFields count="1">
    <dataField name="Soma de Valor (R$)" fld="6" baseField="0" baseItem="0" numFmtId="165"/>
  </dataFields>
  <formats count="1">
    <format dxfId="27">
      <pivotArea outline="0" collapsedLevelsAreSubtotals="1" fieldPosition="0"/>
    </format>
  </formats>
  <chartFormats count="1">
    <chartFormat chart="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3C1000-040C-4850-ABDD-8B3D14BF3895}" name="Tabela dinâmica10" cacheId="77" applyNumberFormats="0" applyBorderFormats="0" applyFontFormats="0" applyPatternFormats="0" applyAlignmentFormats="0" applyWidthHeightFormats="1" dataCaption="Valores" updatedVersion="8" minRefreshableVersion="5" useAutoFormatting="1" rowGrandTotals="0" colGrandTotals="0" itemPrintTitles="1" createdVersion="8" indent="0" outline="1" outlineData="1" multipleFieldFilters="0" chartFormat="3">
  <location ref="Q1:R2" firstHeaderRow="1" firstDataRow="2" firstDataCol="1"/>
  <pivotFields count="14">
    <pivotField showAll="0">
      <items count="31">
        <item m="1" x="7"/>
        <item m="1" x="8"/>
        <item m="1" x="12"/>
        <item m="1" x="13"/>
        <item x="1"/>
        <item m="1" x="14"/>
        <item m="1" x="24"/>
        <item m="1" x="25"/>
        <item m="1" x="26"/>
        <item m="1" x="27"/>
        <item m="1" x="28"/>
        <item m="1" x="29"/>
        <item m="1" x="22"/>
        <item m="1" x="23"/>
        <item m="1" x="16"/>
        <item m="1" x="15"/>
        <item m="1" x="17"/>
        <item m="1" x="18"/>
        <item m="1" x="19"/>
        <item m="1" x="20"/>
        <item m="1" x="21"/>
        <item m="1" x="10"/>
        <item m="1" x="11"/>
        <item m="1" x="9"/>
        <item m="1" x="5"/>
        <item m="1" x="6"/>
        <item m="1" x="2"/>
        <item m="1" x="4"/>
        <item m="1" x="3"/>
        <item x="0"/>
        <item t="default"/>
      </items>
    </pivotField>
    <pivotField showAll="0"/>
    <pivotField showAll="0"/>
    <pivotField showAll="0"/>
    <pivotField axis="axisRow" showAll="0">
      <items count="9">
        <item m="1" x="3"/>
        <item m="1" x="5"/>
        <item x="0"/>
        <item m="1" x="4"/>
        <item x="1"/>
        <item m="1" x="7"/>
        <item m="1" x="6"/>
        <item m="1" x="2"/>
        <item t="default"/>
      </items>
    </pivotField>
    <pivotField axis="axisCol" showAll="0">
      <items count="4">
        <item h="1" x="0"/>
        <item m="1" x="2"/>
        <item h="1"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4"/>
  </rowFields>
  <colFields count="1">
    <field x="5"/>
  </colFields>
  <dataFields count="1">
    <dataField name="Soma de Valor (R$)" fld="6" baseField="0" baseItem="0" numFmtId="165"/>
  </dataFields>
  <formats count="3">
    <format dxfId="30">
      <pivotArea outline="0" collapsedLevelsAreSubtotals="1" fieldPosition="0"/>
    </format>
    <format dxfId="29">
      <pivotArea outline="0" collapsedLevelsAreSubtotals="1" fieldPosition="0"/>
    </format>
    <format dxfId="28">
      <pivotArea outline="0" collapsedLevelsAreSubtotals="1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2136C2-874C-4B22-9546-F78C6E615EB9}" name="Tabela dinâmica8" cacheId="84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U1:V3" firstHeaderRow="1" firstDataRow="1" firstDataCol="1"/>
  <pivotFields count="12"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6">
        <item x="0"/>
        <item m="1" x="3"/>
        <item x="1"/>
        <item m="1" x="2"/>
        <item m="1" x="4"/>
        <item t="default"/>
      </items>
    </pivotField>
    <pivotField showAll="0"/>
    <pivotField showAll="0"/>
    <pivotField showAll="0"/>
  </pivotFields>
  <rowFields count="1">
    <field x="8"/>
  </rowFields>
  <rowItems count="2">
    <i>
      <x/>
    </i>
    <i>
      <x v="2"/>
    </i>
  </rowItems>
  <colItems count="1">
    <i/>
  </colItems>
  <dataFields count="1">
    <dataField name="Soma de Valor (R$)" fld="6" baseField="0" baseItem="0" numFmtId="165"/>
  </dataFields>
  <formats count="1">
    <format dxfId="31">
      <pivotArea outline="0" collapsedLevelsAreSubtotals="1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2" xr10:uid="{040F46EE-284D-433B-8BEA-6051F03F5D84}" sourceName="Mês">
  <pivotTables>
    <pivotTable tabId="8" name="Tabela dinâmica1"/>
  </pivotTables>
  <data>
    <tabular pivotCacheId="387417023">
      <items count="14">
        <i x="0" s="1"/>
        <i x="3" s="1" nd="1"/>
        <i x="4" s="1" nd="1"/>
        <i x="7" s="1" nd="1"/>
        <i x="8" s="1" nd="1"/>
        <i x="9" s="1" nd="1"/>
        <i x="5" s="1" nd="1"/>
        <i x="2" s="1" nd="1"/>
        <i x="10" s="1" nd="1"/>
        <i x="11" s="1" nd="1"/>
        <i x="12" s="1" nd="1"/>
        <i x="13" s="1" nd="1"/>
        <i x="1" s="1" nd="1"/>
        <i x="6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1" xr10:uid="{84C7F946-6CB3-44CC-828C-527BB351ED24}" sourceName="Mês">
  <extLst>
    <x:ext xmlns:x15="http://schemas.microsoft.com/office/spreadsheetml/2010/11/main" uri="{2F2917AC-EB37-4324-AD4E-5DD8C200BD13}">
      <x15:tableSlicerCache tableId="1" column="8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1" xr10:uid="{14C12FD7-DBEA-459B-AB79-3B8E7410AAB1}" sourceName="Tipo">
  <extLst>
    <x:ext xmlns:x15="http://schemas.microsoft.com/office/spreadsheetml/2010/11/main" uri="{2F2917AC-EB37-4324-AD4E-5DD8C200BD13}">
      <x15:tableSlicerCache tableId="1" column="4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orma_de_Pagamento1" xr10:uid="{D98DF023-0BAF-4FFD-B3E3-BB352E1B2D2B}" sourceName="Forma de Pagamento/Recebimento">
  <extLst>
    <x:ext xmlns:x15="http://schemas.microsoft.com/office/spreadsheetml/2010/11/main" uri="{2F2917AC-EB37-4324-AD4E-5DD8C200BD13}">
      <x15:tableSlicerCache tableId="1" column="6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1797ED6B-C537-48A3-9882-D723D5F9C9E2}" sourceName="Mês">
  <extLst>
    <x:ext xmlns:x15="http://schemas.microsoft.com/office/spreadsheetml/2010/11/main" uri="{2F2917AC-EB37-4324-AD4E-5DD8C200BD13}">
      <x15:tableSlicerCache tableId="2" column="8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D86652E5-8BB7-4498-BBF9-D56B6535ADDD}" sourceName="Tipo">
  <extLst>
    <x:ext xmlns:x15="http://schemas.microsoft.com/office/spreadsheetml/2010/11/main" uri="{2F2917AC-EB37-4324-AD4E-5DD8C200BD13}">
      <x15:tableSlicerCache tableId="2" column="4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343889B5-B7FF-48CB-8AE8-C985CA896640}" sourceName="Status ">
  <extLst>
    <x:ext xmlns:x15="http://schemas.microsoft.com/office/spreadsheetml/2010/11/main" uri="{2F2917AC-EB37-4324-AD4E-5DD8C200BD13}">
      <x15:tableSlicerCache tableId="2" column="9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1" xr10:uid="{66AA62E9-7029-4FC5-9E92-33D55AC2DB8C}" sourceName="Status ">
  <extLst>
    <x:ext xmlns:x15="http://schemas.microsoft.com/office/spreadsheetml/2010/11/main" uri="{2F2917AC-EB37-4324-AD4E-5DD8C200BD13}">
      <x15:tableSlicerCache tableId="1" column="9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" xr10:uid="{52734DE0-76A0-4CB5-ACE8-FC9299361669}" cache="SegmentaçãodeDados_Mês" caption="Mês" columnCount="6" style="Estilo de Segmentação de Dados 5" rowHeight="241300"/>
  <slicer name="Tipo" xr10:uid="{3C9A7A27-DA1D-45EA-83D2-063337D0A5BC}" cache="SegmentaçãodeDados_Tipo" caption="Tipo" columnCount="2" style="Estilo de Segmentação de Dados 5" rowHeight="241300"/>
  <slicer name="Status " xr10:uid="{EAA77A4E-2AA9-4A09-A841-B0985FC740BE}" cache="SegmentaçãodeDados_Status" caption="Status " columnCount="3" style="Estilo de Segmentação de Dados 5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1" xr10:uid="{F56E4FC7-EF32-4F54-9ED0-8EBA86EA5EAB}" cache="SegmentaçãodeDados_Mês1" caption="Mês" columnCount="6" style="Estilo de Segmentação de Dados 5" rowHeight="241300"/>
  <slicer name="Tipo 1" xr10:uid="{FCA52430-C342-47B9-9379-CDEA5AA3EBDB}" cache="SegmentaçãodeDados_Tipo1" caption="Tipo" columnCount="2" style="Estilo de Segmentação de Dados 5" rowHeight="241300"/>
  <slicer name="Forma de Pagamento 1" xr10:uid="{376512CD-336D-4E25-816F-CDC0513F2284}" cache="SegmentaçãodeDados_Forma_de_Pagamento1" caption="Forma de Pagamento/Recebimento" columnCount="3" style="Estilo de Segmentação de Dados 5" rowHeight="241300"/>
  <slicer name="Status  1" xr10:uid="{A60AB892-3316-4C2B-B213-9C4BB2B37E50}" cache="SegmentaçãodeDados_Status1" caption="Status " columnCount="2" style="Estilo de Segmentação de Dados 5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2" xr10:uid="{83CFB003-FE88-47A6-A6A9-DDA3BA375CC9}" cache="SegmentaçãodeDados_Mês2" caption="Mês" rowHeight="241300"/>
  <slicer name="Mês 3" xr10:uid="{27F7B858-85C0-42CB-8FF6-7F9F8295BE0B}" cache="SegmentaçãodeDados_Mês2" caption="Mês" rowHeight="241300"/>
  <slicer name="Mês 4" xr10:uid="{60322339-3D88-43BD-B268-96835B8ADA2C}" cache="SegmentaçãodeDados_Mês2" caption="Mês" columnCount="4" style="Estilo de Segmentação de Dados 5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D134D29-1315-41BA-A625-F3205115A47F}" name="Tabela3" displayName="Tabela3" ref="A7:A45" totalsRowShown="0" headerRowDxfId="111" dataDxfId="109" headerRowBorderDxfId="110" tableBorderDxfId="108" totalsRowBorderDxfId="107">
  <autoFilter ref="A7:A45" xr:uid="{0D134D29-1315-41BA-A625-F3205115A47F}"/>
  <tableColumns count="1">
    <tableColumn id="1" xr3:uid="{BAC53E13-42A3-4D0D-8C06-4A7CE325C589}" name="CATEGORIA " dataDxfId="106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10C1399-712E-449B-9F9C-CE72C51C80CB}" name="Tabela4" displayName="Tabela4" ref="B7:B32" totalsRowShown="0" headerRowDxfId="105" dataDxfId="103" headerRowBorderDxfId="104" tableBorderDxfId="102" totalsRowBorderDxfId="101">
  <autoFilter ref="B7:B32" xr:uid="{E10C1399-712E-449B-9F9C-CE72C51C80CB}"/>
  <tableColumns count="1">
    <tableColumn id="1" xr3:uid="{8D1C8B99-2F6F-43F0-B6E9-101831C8749F}" name="FORMA DE PAGAMENTO/RECEBIMENTO" dataDxfId="100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4A9B887-A54D-4561-A430-5E5ED2A84091}" name="Tabela5" displayName="Tabela5" ref="C7:C18" totalsRowShown="0" headerRowDxfId="99" dataDxfId="97" headerRowBorderDxfId="98" tableBorderDxfId="96" totalsRowBorderDxfId="95">
  <autoFilter ref="C7:C18" xr:uid="{B4A9B887-A54D-4561-A430-5E5ED2A84091}"/>
  <tableColumns count="1">
    <tableColumn id="1" xr3:uid="{930943C0-0485-4DA8-A0DF-B50999A9F6EB}" name="STATUS" dataDxfId="94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65D27D4-E1A6-421E-BE25-DC7B69E125B6}" name="Tabela6" displayName="Tabela6" ref="G7:G45" totalsRowShown="0" headerRowDxfId="93" dataDxfId="91" headerRowBorderDxfId="92" tableBorderDxfId="90" totalsRowBorderDxfId="89">
  <autoFilter ref="G7:G45" xr:uid="{C65D27D4-E1A6-421E-BE25-DC7B69E125B6}"/>
  <tableColumns count="1">
    <tableColumn id="1" xr3:uid="{5012AA34-8AB5-4507-9F7F-2373E0BAEB00}" name="CATEGORIA " dataDxfId="88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605EA5-6870-45BB-B4BB-0ACDF518D1DB}" name="Tabela8" displayName="Tabela8" ref="H7:H32" totalsRowShown="0" headerRowDxfId="87" dataDxfId="85" headerRowBorderDxfId="86" tableBorderDxfId="84" totalsRowBorderDxfId="83">
  <autoFilter ref="H7:H32" xr:uid="{DB605EA5-6870-45BB-B4BB-0ACDF518D1DB}"/>
  <tableColumns count="1">
    <tableColumn id="1" xr3:uid="{6C598F1D-C787-4EBB-853D-31CD2CFB1B8D}" name="FORMA DE PAGAMENTO/RECEBIMENTO" dataDxfId="82"/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1A289E2-E8A7-407C-93AC-90F1C7740E84}" name="Tabela9" displayName="Tabela9" ref="I7:I18" totalsRowShown="0" headerRowDxfId="81" dataDxfId="79" headerRowBorderDxfId="80" tableBorderDxfId="78" totalsRowBorderDxfId="77">
  <autoFilter ref="I7:I18" xr:uid="{A1A289E2-E8A7-407C-93AC-90F1C7740E84}"/>
  <tableColumns count="1">
    <tableColumn id="1" xr3:uid="{ED029966-1040-4936-9351-5E756869A2EA}" name="STATUS" dataDxfId="76"/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F06FAFC-86AC-484D-9248-49B4B54035CF}" name="Tabela10" displayName="Tabela10" ref="E8:E10" totalsRowShown="0" headerRowDxfId="75" dataDxfId="73" headerRowBorderDxfId="74" tableBorderDxfId="72" totalsRowBorderDxfId="71">
  <autoFilter ref="E8:E10" xr:uid="{0F06FAFC-86AC-484D-9248-49B4B54035CF}"/>
  <tableColumns count="1">
    <tableColumn id="1" xr3:uid="{E8C1F452-1837-4FE0-8AEF-B4176DF490E0}" name="TIPO " dataDxfId="70"/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C42092-6533-4127-90DF-3D40AFA906A4}" name="Tabela2" displayName="Tabela2" ref="A9:L608" totalsRowShown="0" headerRowDxfId="67" dataDxfId="65" headerRowBorderDxfId="66" tableBorderDxfId="64" totalsRowBorderDxfId="63">
  <autoFilter ref="A9:L608" xr:uid="{64C42092-6533-4127-90DF-3D40AFA906A4}"/>
  <tableColumns count="12">
    <tableColumn id="1" xr3:uid="{775EDEEB-58A0-450B-BE82-B16FB0E0BC21}" name="Data" dataDxfId="62"/>
    <tableColumn id="8" xr3:uid="{BA6F6E50-5FE6-4796-8C58-13165552DF6F}" name="Mês" dataDxfId="61">
      <calculatedColumnFormula>IF(Tabela2[[#This Row],[Data]]="","",PROPER(TEXT(Tabela2[[#This Row],[Data]],"mmm")))</calculatedColumnFormula>
    </tableColumn>
    <tableColumn id="10" xr3:uid="{21C271B4-1607-4CA5-B05E-C72375DFE016}" name="Semana" dataDxfId="60">
      <calculatedColumnFormula>IF(Tabela2[[#This Row],[Data]]="","",PROPER(TEXT(Tabela2[[#This Row],[Data]],"ddd")))</calculatedColumnFormula>
    </tableColumn>
    <tableColumn id="2" xr3:uid="{49837843-4C45-43D5-8D63-AEBB6BA520F3}" name="Descrição" dataDxfId="59"/>
    <tableColumn id="3" xr3:uid="{8E6D6741-E695-4D13-9AA1-8CF92B9D6E25}" name="Categoria" dataDxfId="58"/>
    <tableColumn id="4" xr3:uid="{14863DE3-05EB-4257-8E1E-8674E90C0C7C}" name="Tipo" dataDxfId="57"/>
    <tableColumn id="5" xr3:uid="{A7E38F0C-D82F-481B-BD97-7613746D16D2}" name="Valor (R$)" dataDxfId="56"/>
    <tableColumn id="6" xr3:uid="{DED32C46-1FA4-4B04-8688-1F2C97170CB2}" name="Forma de Pagamento/Recebimento" dataDxfId="55"/>
    <tableColumn id="9" xr3:uid="{33914ED5-9828-4F37-AEBA-992C5910CBA4}" name="Status " dataDxfId="54"/>
    <tableColumn id="11" xr3:uid="{AC8F21D8-CC0F-4544-86D6-71BC39DFF6E5}" name="Data de Vencimento" dataDxfId="53"/>
    <tableColumn id="12" xr3:uid="{C400937A-7323-441D-82FA-2A2923AC29AC}" name="Qtd de Dias p Vencer" dataDxfId="52">
      <calculatedColumnFormula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calculatedColumnFormula>
    </tableColumn>
    <tableColumn id="7" xr3:uid="{0319B1C2-5445-44FC-A4EE-9D15FEF52797}" name="Observações" dataDxfId="51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709A0F2-4F16-4FBD-BBDB-872FB98E2310}" name="Tabela12" displayName="Tabela12" ref="N9:Q21" totalsRowShown="0" headerRowDxfId="50" dataDxfId="48" headerRowBorderDxfId="49" tableBorderDxfId="47" totalsRowBorderDxfId="46">
  <autoFilter ref="N9:Q21" xr:uid="{9709A0F2-4F16-4FBD-BBDB-872FB98E2310}"/>
  <tableColumns count="4">
    <tableColumn id="1" xr3:uid="{F7DD3529-30FE-4B6C-90E9-F0894052D305}" name="Mês" dataDxfId="45"/>
    <tableColumn id="2" xr3:uid="{30D39235-3B62-4EED-B96B-DE9666FDF41D}" name="Entrada" dataDxfId="44">
      <calculatedColumnFormula>SUMIFS(Tabela2[Valor (R$)],Tabela2[Mês],"JAN",Tabela2[Tipo],"Entrada")</calculatedColumnFormula>
    </tableColumn>
    <tableColumn id="3" xr3:uid="{2317B39A-BE59-430F-BF0B-4476192C8429}" name="Saída" dataDxfId="43">
      <calculatedColumnFormula>SUMIFS(Tabela2[Valor (R$)],Tabela2[Mês],"JAN",Tabela2[Tipo],"Saída")</calculatedColumnFormula>
    </tableColumn>
    <tableColumn id="4" xr3:uid="{2CBF2B0B-9F55-408A-941F-5B9B2CA7E898}" name="Saldo Disponível" dataDxfId="42">
      <calculatedColumnFormula>Tabela12[[#This Row],[Entrada]]-Tabela12[[#This Row],[Saída]]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CCFF60-5E19-4FB2-A0D9-4539AED1066C}" name="Tabela22" displayName="Tabela22" ref="A9:L608" totalsRowShown="0" headerRowDxfId="137" dataDxfId="135" headerRowBorderDxfId="136" tableBorderDxfId="134" totalsRowBorderDxfId="133">
  <autoFilter ref="A9:L608" xr:uid="{64C42092-6533-4127-90DF-3D40AFA906A4}"/>
  <tableColumns count="12">
    <tableColumn id="1" xr3:uid="{08E0E130-28F8-42D9-9D36-EE83828324F7}" name="Data" dataDxfId="132"/>
    <tableColumn id="8" xr3:uid="{23640D54-C2A6-402E-8F39-E286A76428D6}" name="Mês" dataDxfId="131">
      <calculatedColumnFormula>IF(Tabela22[[#This Row],[Data]]="","",PROPER(TEXT(Tabela22[[#This Row],[Data]],"mmm")))</calculatedColumnFormula>
    </tableColumn>
    <tableColumn id="10" xr3:uid="{904240AE-310C-4FFF-850F-D07BC16B96B8}" name="Semana" dataDxfId="130">
      <calculatedColumnFormula>IF(Tabela22[[#This Row],[Data]]="","",PROPER(TEXT(Tabela22[[#This Row],[Data]],"ddd")))</calculatedColumnFormula>
    </tableColumn>
    <tableColumn id="2" xr3:uid="{E40123FB-71D6-427E-9001-56CD235CC1D4}" name="Descrição" dataDxfId="129"/>
    <tableColumn id="3" xr3:uid="{937E100F-991D-4BB7-9673-16E5BC70BAEC}" name="Categoria" dataDxfId="128"/>
    <tableColumn id="4" xr3:uid="{2F4CB159-DCDA-4447-8220-37056668509F}" name="Tipo" dataDxfId="127"/>
    <tableColumn id="5" xr3:uid="{7F635D13-5458-4DD4-A0A7-B913455A7EB5}" name="Valor (R$)" dataDxfId="126"/>
    <tableColumn id="6" xr3:uid="{D766A279-4BAA-4C52-A1BE-F32D546BA02D}" name="Forma de Pagamento/Recebimento" dataDxfId="125"/>
    <tableColumn id="9" xr3:uid="{67547172-0FA6-4D4E-A1EB-3AFAF48F7E97}" name="Status " dataDxfId="124"/>
    <tableColumn id="12" xr3:uid="{97CDEA12-6777-43C1-B51E-B4D989F3AE8D}" name="Data de Vencimento" dataDxfId="123"/>
    <tableColumn id="13" xr3:uid="{64A90195-AEAB-4AD3-AB38-49D7E445D4F9}" name="Qtd de Dias p Vencer" dataDxfId="122">
      <calculatedColumnFormula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calculatedColumnFormula>
    </tableColumn>
    <tableColumn id="7" xr3:uid="{39C0808B-842F-4EE6-976B-6CA38E9A44D6}" name="Observações" dataDxfId="121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C09534C-2D79-4C63-8EFE-9EF7358620F4}" name="Tabela1214" displayName="Tabela1214" ref="N9:Q21" totalsRowShown="0" headerRowDxfId="120" dataDxfId="118" headerRowBorderDxfId="119" tableBorderDxfId="117" totalsRowBorderDxfId="116">
  <autoFilter ref="N9:Q21" xr:uid="{6C09534C-2D79-4C63-8EFE-9EF7358620F4}"/>
  <tableColumns count="4">
    <tableColumn id="1" xr3:uid="{79A9D063-FD9D-4193-9E91-6B2A2F194F72}" name="Mês" dataDxfId="115"/>
    <tableColumn id="2" xr3:uid="{0BD4DC80-8372-4F4A-942D-A966B5F567C0}" name="Entrada" dataDxfId="114">
      <calculatedColumnFormula>SUMIFS(Tabela22[Valor (R$)],Tabela22[Mês],"JAN",Tabela22[Tipo],"Entrada")</calculatedColumnFormula>
    </tableColumn>
    <tableColumn id="3" xr3:uid="{5560FAF1-BDD7-469C-8954-EA4B93BD17FB}" name="Saída" dataDxfId="113">
      <calculatedColumnFormula>SUMIFS(Tabela22[Valor (R$)],Tabela22[Mês],"FEV",Tabela22[Tipo],"Saída")</calculatedColumnFormula>
    </tableColumn>
    <tableColumn id="4" xr3:uid="{F6538BB5-1527-464F-B16C-914D8F0EF7B2}" name="Saldo Disponível" dataDxfId="112">
      <calculatedColumnFormula>Tabela1214[[#This Row],[Entrada]]-Tabela1214[[#This Row],[Saída]]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1" xr10:uid="{FEE29DDC-992A-4C68-B213-5496302A26FF}" sourceName="Data">
  <pivotTables>
    <pivotTable tabId="8" name="Tabela dinâmica10"/>
    <pivotTable tabId="3" name="Tabela dinâmica6"/>
    <pivotTable tabId="3" name="Tabela dinâmica3"/>
    <pivotTable tabId="3" name="Tabela dinâmica10"/>
    <pivotTable tabId="3" name="Tabela dinâmica1"/>
  </pivotTables>
  <state minimalRefreshVersion="6" lastRefreshVersion="6" pivotCacheId="2041119647" filterType="unknown">
    <bounds startDate="2025-01-0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" xr10:uid="{81CDA2B5-D0B6-4B59-B590-E50441C8F202}" cache="NativeTimeline_Data1" caption="Linha do Tempo" showSelectionLabel="0" showHorizontalScrollbar="0" level="2" selectionLevel="2" scrollPosition="2025-01-01T00:00:00" style="Estilo de Linha do Tempo 1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2.xml"/><Relationship Id="rId4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drawing" Target="../drawings/drawing3.xml"/><Relationship Id="rId4" Type="http://schemas.microsoft.com/office/2007/relationships/slicer" Target="../slicers/slicer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5.xml"/><Relationship Id="rId3" Type="http://schemas.openxmlformats.org/officeDocument/2006/relationships/pivotTable" Target="../pivotTables/pivotTable7.xml"/><Relationship Id="rId7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openxmlformats.org/officeDocument/2006/relationships/pivotTable" Target="../pivotTables/pivotTable10.xml"/><Relationship Id="rId5" Type="http://schemas.openxmlformats.org/officeDocument/2006/relationships/pivotTable" Target="../pivotTables/pivotTable9.xml"/><Relationship Id="rId4" Type="http://schemas.openxmlformats.org/officeDocument/2006/relationships/pivotTable" Target="../pivotTables/pivotTable8.xml"/><Relationship Id="rId9" Type="http://schemas.microsoft.com/office/2007/relationships/slicer" Target="../slicers/slicer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945C7-4753-4285-A88A-F344E5CDCC52}">
  <sheetPr codeName="Planilha5"/>
  <dimension ref="A4:N110"/>
  <sheetViews>
    <sheetView showGridLines="0" zoomScale="70" zoomScaleNormal="70" workbookViewId="0">
      <selection activeCell="H16" sqref="H16"/>
    </sheetView>
  </sheetViews>
  <sheetFormatPr defaultRowHeight="15" x14ac:dyDescent="0.25"/>
  <cols>
    <col min="1" max="1" width="40.28515625" bestFit="1" customWidth="1"/>
    <col min="2" max="2" width="41.7109375" bestFit="1" customWidth="1"/>
    <col min="3" max="3" width="28.5703125" bestFit="1" customWidth="1"/>
    <col min="7" max="7" width="30.85546875" bestFit="1" customWidth="1"/>
    <col min="8" max="8" width="41.7109375" bestFit="1" customWidth="1"/>
    <col min="9" max="9" width="28.5703125" bestFit="1" customWidth="1"/>
    <col min="10" max="10" width="23.28515625" bestFit="1" customWidth="1"/>
    <col min="11" max="12" width="28.5703125" bestFit="1" customWidth="1"/>
  </cols>
  <sheetData>
    <row r="4" spans="1:14" ht="15" customHeight="1" x14ac:dyDescent="0.4">
      <c r="A4" s="72" t="s">
        <v>67</v>
      </c>
      <c r="B4" s="72"/>
      <c r="C4" s="72"/>
      <c r="G4" s="71" t="s">
        <v>66</v>
      </c>
      <c r="H4" s="71"/>
      <c r="I4" s="71"/>
      <c r="J4" s="21"/>
      <c r="K4" s="21"/>
      <c r="L4" s="21"/>
      <c r="M4" s="21"/>
      <c r="N4" s="21"/>
    </row>
    <row r="5" spans="1:14" ht="15" customHeight="1" x14ac:dyDescent="0.4">
      <c r="A5" s="72"/>
      <c r="B5" s="72"/>
      <c r="C5" s="72"/>
      <c r="G5" s="71"/>
      <c r="H5" s="71"/>
      <c r="I5" s="71"/>
      <c r="J5" s="21"/>
      <c r="K5" s="21"/>
      <c r="L5" s="21"/>
      <c r="M5" s="21"/>
      <c r="N5" s="21"/>
    </row>
    <row r="6" spans="1:14" x14ac:dyDescent="0.25">
      <c r="A6" s="20"/>
      <c r="B6" s="20"/>
    </row>
    <row r="7" spans="1:14" x14ac:dyDescent="0.25">
      <c r="A7" s="38" t="s">
        <v>21</v>
      </c>
      <c r="B7" s="38" t="s">
        <v>144</v>
      </c>
      <c r="C7" s="38" t="s">
        <v>64</v>
      </c>
      <c r="G7" s="38" t="s">
        <v>21</v>
      </c>
      <c r="H7" s="38" t="s">
        <v>144</v>
      </c>
      <c r="I7" s="38" t="s">
        <v>64</v>
      </c>
    </row>
    <row r="8" spans="1:14" x14ac:dyDescent="0.25">
      <c r="A8" s="37" t="s">
        <v>22</v>
      </c>
      <c r="B8" s="37" t="s">
        <v>13</v>
      </c>
      <c r="C8" s="37" t="s">
        <v>68</v>
      </c>
      <c r="D8" s="19"/>
      <c r="E8" s="38" t="s">
        <v>20</v>
      </c>
      <c r="G8" s="37" t="s">
        <v>47</v>
      </c>
      <c r="H8" s="37" t="s">
        <v>13</v>
      </c>
      <c r="I8" s="37" t="s">
        <v>68</v>
      </c>
    </row>
    <row r="9" spans="1:14" x14ac:dyDescent="0.25">
      <c r="A9" s="37" t="s">
        <v>23</v>
      </c>
      <c r="B9" s="37" t="s">
        <v>15</v>
      </c>
      <c r="C9" s="37" t="s">
        <v>69</v>
      </c>
      <c r="D9" s="20"/>
      <c r="E9" s="37" t="s">
        <v>9</v>
      </c>
      <c r="G9" s="37" t="s">
        <v>48</v>
      </c>
      <c r="H9" s="37" t="s">
        <v>15</v>
      </c>
      <c r="I9" s="37" t="s">
        <v>69</v>
      </c>
    </row>
    <row r="10" spans="1:14" x14ac:dyDescent="0.25">
      <c r="A10" s="37" t="s">
        <v>24</v>
      </c>
      <c r="B10" s="37" t="s">
        <v>40</v>
      </c>
      <c r="C10" s="37" t="s">
        <v>70</v>
      </c>
      <c r="D10" s="20"/>
      <c r="E10" s="39" t="s">
        <v>10</v>
      </c>
      <c r="G10" s="37" t="s">
        <v>49</v>
      </c>
      <c r="H10" s="37" t="s">
        <v>40</v>
      </c>
      <c r="I10" s="39" t="s">
        <v>70</v>
      </c>
    </row>
    <row r="11" spans="1:14" x14ac:dyDescent="0.25">
      <c r="A11" s="37" t="s">
        <v>25</v>
      </c>
      <c r="B11" s="37" t="s">
        <v>14</v>
      </c>
      <c r="C11" s="39" t="s">
        <v>80</v>
      </c>
      <c r="G11" s="37" t="s">
        <v>50</v>
      </c>
      <c r="H11" s="37" t="s">
        <v>14</v>
      </c>
      <c r="I11" s="39" t="s">
        <v>80</v>
      </c>
    </row>
    <row r="12" spans="1:14" x14ac:dyDescent="0.25">
      <c r="A12" s="37" t="s">
        <v>26</v>
      </c>
      <c r="B12" s="37" t="s">
        <v>41</v>
      </c>
      <c r="C12" s="39"/>
      <c r="G12" s="37" t="s">
        <v>51</v>
      </c>
      <c r="H12" s="37" t="s">
        <v>41</v>
      </c>
      <c r="I12" s="39"/>
    </row>
    <row r="13" spans="1:14" x14ac:dyDescent="0.25">
      <c r="A13" s="37" t="s">
        <v>27</v>
      </c>
      <c r="B13" s="37" t="s">
        <v>16</v>
      </c>
      <c r="C13" s="39"/>
      <c r="G13" s="37" t="s">
        <v>52</v>
      </c>
      <c r="H13" s="37" t="s">
        <v>16</v>
      </c>
      <c r="I13" s="39"/>
    </row>
    <row r="14" spans="1:14" x14ac:dyDescent="0.25">
      <c r="A14" s="37" t="s">
        <v>28</v>
      </c>
      <c r="B14" s="37" t="s">
        <v>42</v>
      </c>
      <c r="C14" s="39"/>
      <c r="G14" s="37" t="s">
        <v>53</v>
      </c>
      <c r="H14" s="37" t="s">
        <v>42</v>
      </c>
      <c r="I14" s="39"/>
    </row>
    <row r="15" spans="1:14" x14ac:dyDescent="0.25">
      <c r="A15" s="37" t="s">
        <v>29</v>
      </c>
      <c r="B15" s="37" t="s">
        <v>79</v>
      </c>
      <c r="C15" s="39"/>
      <c r="G15" s="37" t="s">
        <v>54</v>
      </c>
      <c r="H15" s="37" t="s">
        <v>79</v>
      </c>
      <c r="I15" s="39"/>
    </row>
    <row r="16" spans="1:14" x14ac:dyDescent="0.25">
      <c r="A16" s="37" t="s">
        <v>30</v>
      </c>
      <c r="B16" s="37" t="s">
        <v>43</v>
      </c>
      <c r="C16" s="39"/>
      <c r="G16" s="37" t="s">
        <v>47</v>
      </c>
      <c r="H16" s="37" t="s">
        <v>43</v>
      </c>
      <c r="I16" s="39"/>
    </row>
    <row r="17" spans="1:9" x14ac:dyDescent="0.25">
      <c r="A17" s="37" t="s">
        <v>31</v>
      </c>
      <c r="B17" s="37" t="s">
        <v>44</v>
      </c>
      <c r="C17" s="39"/>
      <c r="G17" s="37" t="s">
        <v>55</v>
      </c>
      <c r="H17" s="37" t="s">
        <v>44</v>
      </c>
      <c r="I17" s="39"/>
    </row>
    <row r="18" spans="1:9" x14ac:dyDescent="0.25">
      <c r="A18" s="37" t="s">
        <v>32</v>
      </c>
      <c r="B18" s="37" t="s">
        <v>45</v>
      </c>
      <c r="C18" s="39"/>
      <c r="G18" s="37" t="s">
        <v>56</v>
      </c>
      <c r="H18" s="37" t="s">
        <v>45</v>
      </c>
      <c r="I18" s="39"/>
    </row>
    <row r="19" spans="1:9" x14ac:dyDescent="0.25">
      <c r="A19" s="37" t="s">
        <v>33</v>
      </c>
      <c r="B19" s="39" t="s">
        <v>46</v>
      </c>
      <c r="G19" s="37" t="s">
        <v>15</v>
      </c>
      <c r="H19" s="39" t="s">
        <v>82</v>
      </c>
    </row>
    <row r="20" spans="1:9" x14ac:dyDescent="0.25">
      <c r="A20" s="37" t="s">
        <v>34</v>
      </c>
      <c r="B20" s="39"/>
      <c r="G20" s="37" t="s">
        <v>57</v>
      </c>
      <c r="H20" s="39" t="s">
        <v>83</v>
      </c>
    </row>
    <row r="21" spans="1:9" x14ac:dyDescent="0.25">
      <c r="A21" s="37" t="s">
        <v>35</v>
      </c>
      <c r="B21" s="39"/>
      <c r="G21" s="37" t="s">
        <v>58</v>
      </c>
      <c r="H21" s="39" t="s">
        <v>46</v>
      </c>
    </row>
    <row r="22" spans="1:9" x14ac:dyDescent="0.25">
      <c r="A22" s="37" t="s">
        <v>36</v>
      </c>
      <c r="B22" s="39"/>
      <c r="G22" s="37" t="s">
        <v>59</v>
      </c>
      <c r="H22" s="39"/>
    </row>
    <row r="23" spans="1:9" x14ac:dyDescent="0.25">
      <c r="A23" s="37" t="s">
        <v>37</v>
      </c>
      <c r="B23" s="39"/>
      <c r="G23" s="37" t="s">
        <v>60</v>
      </c>
      <c r="H23" s="39"/>
    </row>
    <row r="24" spans="1:9" x14ac:dyDescent="0.25">
      <c r="A24" s="37" t="s">
        <v>38</v>
      </c>
      <c r="B24" s="39"/>
      <c r="G24" s="37" t="s">
        <v>61</v>
      </c>
      <c r="H24" s="39"/>
    </row>
    <row r="25" spans="1:9" x14ac:dyDescent="0.25">
      <c r="A25" s="37" t="s">
        <v>39</v>
      </c>
      <c r="B25" s="39"/>
      <c r="G25" s="37" t="s">
        <v>62</v>
      </c>
      <c r="H25" s="39"/>
    </row>
    <row r="26" spans="1:9" x14ac:dyDescent="0.25">
      <c r="A26" s="39" t="s">
        <v>78</v>
      </c>
      <c r="B26" s="39"/>
      <c r="G26" s="39" t="s">
        <v>63</v>
      </c>
      <c r="H26" s="39"/>
    </row>
    <row r="27" spans="1:9" x14ac:dyDescent="0.25">
      <c r="A27" s="39"/>
      <c r="B27" s="39"/>
      <c r="G27" s="39" t="s">
        <v>98</v>
      </c>
      <c r="H27" s="39"/>
    </row>
    <row r="28" spans="1:9" x14ac:dyDescent="0.25">
      <c r="A28" s="39"/>
      <c r="B28" s="39"/>
      <c r="G28" s="39" t="s">
        <v>99</v>
      </c>
      <c r="H28" s="39"/>
    </row>
    <row r="29" spans="1:9" x14ac:dyDescent="0.25">
      <c r="A29" s="39"/>
      <c r="B29" s="39"/>
      <c r="G29" s="39" t="s">
        <v>100</v>
      </c>
      <c r="H29" s="39"/>
    </row>
    <row r="30" spans="1:9" x14ac:dyDescent="0.25">
      <c r="A30" s="39"/>
      <c r="B30" s="39"/>
      <c r="G30" s="39"/>
      <c r="H30" s="39"/>
    </row>
    <row r="31" spans="1:9" x14ac:dyDescent="0.25">
      <c r="A31" s="39"/>
      <c r="B31" s="39"/>
      <c r="G31" s="39"/>
      <c r="H31" s="39"/>
    </row>
    <row r="32" spans="1:9" x14ac:dyDescent="0.25">
      <c r="A32" s="39"/>
      <c r="B32" s="39"/>
      <c r="G32" s="39"/>
      <c r="H32" s="39"/>
    </row>
    <row r="33" spans="1:7" x14ac:dyDescent="0.25">
      <c r="A33" s="39"/>
      <c r="G33" s="39"/>
    </row>
    <row r="34" spans="1:7" x14ac:dyDescent="0.25">
      <c r="A34" s="39"/>
      <c r="G34" s="39"/>
    </row>
    <row r="35" spans="1:7" x14ac:dyDescent="0.25">
      <c r="A35" s="39"/>
      <c r="G35" s="39"/>
    </row>
    <row r="36" spans="1:7" x14ac:dyDescent="0.25">
      <c r="A36" s="39"/>
      <c r="G36" s="39"/>
    </row>
    <row r="37" spans="1:7" x14ac:dyDescent="0.25">
      <c r="A37" s="39"/>
      <c r="G37" s="39"/>
    </row>
    <row r="38" spans="1:7" x14ac:dyDescent="0.25">
      <c r="A38" s="39"/>
      <c r="G38" s="39"/>
    </row>
    <row r="39" spans="1:7" x14ac:dyDescent="0.25">
      <c r="A39" s="39"/>
      <c r="G39" s="39"/>
    </row>
    <row r="40" spans="1:7" x14ac:dyDescent="0.25">
      <c r="A40" s="39"/>
      <c r="G40" s="39"/>
    </row>
    <row r="41" spans="1:7" x14ac:dyDescent="0.25">
      <c r="A41" s="39"/>
      <c r="G41" s="39"/>
    </row>
    <row r="42" spans="1:7" x14ac:dyDescent="0.25">
      <c r="A42" s="39"/>
      <c r="G42" s="39"/>
    </row>
    <row r="43" spans="1:7" x14ac:dyDescent="0.25">
      <c r="A43" s="39"/>
      <c r="G43" s="39"/>
    </row>
    <row r="44" spans="1:7" x14ac:dyDescent="0.25">
      <c r="A44" s="39"/>
      <c r="G44" s="39"/>
    </row>
    <row r="45" spans="1:7" x14ac:dyDescent="0.25">
      <c r="A45" s="39"/>
      <c r="G45" s="39"/>
    </row>
    <row r="49" spans="1:9" x14ac:dyDescent="0.25">
      <c r="A49" s="73" t="s">
        <v>84</v>
      </c>
      <c r="B49" s="73"/>
      <c r="C49" s="73"/>
      <c r="D49" s="73"/>
      <c r="E49" s="73"/>
      <c r="F49" s="73"/>
      <c r="G49" s="73"/>
      <c r="H49" s="73"/>
      <c r="I49" s="73"/>
    </row>
    <row r="50" spans="1:9" x14ac:dyDescent="0.25">
      <c r="A50" s="73"/>
      <c r="B50" s="73"/>
      <c r="C50" s="73"/>
      <c r="D50" s="73"/>
      <c r="E50" s="73"/>
      <c r="F50" s="73"/>
      <c r="G50" s="73"/>
      <c r="H50" s="73"/>
      <c r="I50" s="73"/>
    </row>
    <row r="63" spans="1:9" x14ac:dyDescent="0.25">
      <c r="A63" s="67" t="s">
        <v>104</v>
      </c>
      <c r="B63" s="67"/>
    </row>
    <row r="65" spans="1:1" x14ac:dyDescent="0.25">
      <c r="A65" t="s">
        <v>105</v>
      </c>
    </row>
    <row r="66" spans="1:1" x14ac:dyDescent="0.25">
      <c r="A66" t="s">
        <v>106</v>
      </c>
    </row>
    <row r="67" spans="1:1" x14ac:dyDescent="0.25">
      <c r="A67" t="s">
        <v>107</v>
      </c>
    </row>
    <row r="68" spans="1:1" x14ac:dyDescent="0.25">
      <c r="A68" t="s">
        <v>108</v>
      </c>
    </row>
    <row r="70" spans="1:1" x14ac:dyDescent="0.25">
      <c r="A70" t="s">
        <v>109</v>
      </c>
    </row>
    <row r="71" spans="1:1" x14ac:dyDescent="0.25">
      <c r="A71" t="s">
        <v>110</v>
      </c>
    </row>
    <row r="72" spans="1:1" x14ac:dyDescent="0.25">
      <c r="A72" t="s">
        <v>111</v>
      </c>
    </row>
    <row r="73" spans="1:1" x14ac:dyDescent="0.25">
      <c r="A73" t="s">
        <v>112</v>
      </c>
    </row>
    <row r="74" spans="1:1" x14ac:dyDescent="0.25">
      <c r="A74" t="s">
        <v>113</v>
      </c>
    </row>
    <row r="75" spans="1:1" x14ac:dyDescent="0.25">
      <c r="A75" t="s">
        <v>114</v>
      </c>
    </row>
    <row r="76" spans="1:1" x14ac:dyDescent="0.25">
      <c r="A76" t="s">
        <v>115</v>
      </c>
    </row>
    <row r="78" spans="1:1" x14ac:dyDescent="0.25">
      <c r="A78" t="s">
        <v>116</v>
      </c>
    </row>
    <row r="79" spans="1:1" x14ac:dyDescent="0.25">
      <c r="A79" t="s">
        <v>117</v>
      </c>
    </row>
    <row r="80" spans="1:1" x14ac:dyDescent="0.25">
      <c r="A80" t="s">
        <v>118</v>
      </c>
    </row>
    <row r="81" spans="1:1" x14ac:dyDescent="0.25">
      <c r="A81" t="s">
        <v>119</v>
      </c>
    </row>
    <row r="82" spans="1:1" x14ac:dyDescent="0.25">
      <c r="A82" t="s">
        <v>120</v>
      </c>
    </row>
    <row r="83" spans="1:1" x14ac:dyDescent="0.25">
      <c r="A83" t="s">
        <v>121</v>
      </c>
    </row>
    <row r="85" spans="1:1" x14ac:dyDescent="0.25">
      <c r="A85" t="s">
        <v>122</v>
      </c>
    </row>
    <row r="86" spans="1:1" x14ac:dyDescent="0.25">
      <c r="A86" t="s">
        <v>123</v>
      </c>
    </row>
    <row r="87" spans="1:1" x14ac:dyDescent="0.25">
      <c r="A87" t="s">
        <v>124</v>
      </c>
    </row>
    <row r="88" spans="1:1" x14ac:dyDescent="0.25">
      <c r="A88" t="s">
        <v>125</v>
      </c>
    </row>
    <row r="89" spans="1:1" x14ac:dyDescent="0.25">
      <c r="A89" t="s">
        <v>126</v>
      </c>
    </row>
    <row r="90" spans="1:1" x14ac:dyDescent="0.25">
      <c r="A90" t="s">
        <v>127</v>
      </c>
    </row>
    <row r="92" spans="1:1" x14ac:dyDescent="0.25">
      <c r="A92" t="s">
        <v>128</v>
      </c>
    </row>
    <row r="93" spans="1:1" x14ac:dyDescent="0.25">
      <c r="A93" t="s">
        <v>129</v>
      </c>
    </row>
    <row r="95" spans="1:1" x14ac:dyDescent="0.25">
      <c r="A95" t="s">
        <v>130</v>
      </c>
    </row>
    <row r="96" spans="1:1" x14ac:dyDescent="0.25">
      <c r="A96" t="s">
        <v>131</v>
      </c>
    </row>
    <row r="98" spans="1:1" x14ac:dyDescent="0.25">
      <c r="A98" t="s">
        <v>132</v>
      </c>
    </row>
    <row r="99" spans="1:1" x14ac:dyDescent="0.25">
      <c r="A99" t="s">
        <v>133</v>
      </c>
    </row>
    <row r="100" spans="1:1" x14ac:dyDescent="0.25">
      <c r="A100" t="s">
        <v>134</v>
      </c>
    </row>
    <row r="101" spans="1:1" x14ac:dyDescent="0.25">
      <c r="A101" t="s">
        <v>135</v>
      </c>
    </row>
    <row r="102" spans="1:1" x14ac:dyDescent="0.25">
      <c r="A102" t="s">
        <v>136</v>
      </c>
    </row>
    <row r="103" spans="1:1" x14ac:dyDescent="0.25">
      <c r="A103" t="s">
        <v>137</v>
      </c>
    </row>
    <row r="104" spans="1:1" x14ac:dyDescent="0.25">
      <c r="A104" t="s">
        <v>138</v>
      </c>
    </row>
    <row r="105" spans="1:1" x14ac:dyDescent="0.25">
      <c r="A105" t="s">
        <v>139</v>
      </c>
    </row>
    <row r="107" spans="1:1" x14ac:dyDescent="0.25">
      <c r="A107" t="s">
        <v>140</v>
      </c>
    </row>
    <row r="108" spans="1:1" x14ac:dyDescent="0.25">
      <c r="A108" t="s">
        <v>141</v>
      </c>
    </row>
    <row r="109" spans="1:1" x14ac:dyDescent="0.25">
      <c r="A109" t="s">
        <v>142</v>
      </c>
    </row>
    <row r="110" spans="1:1" x14ac:dyDescent="0.25">
      <c r="A110" t="s">
        <v>143</v>
      </c>
    </row>
  </sheetData>
  <mergeCells count="3">
    <mergeCell ref="G4:I5"/>
    <mergeCell ref="A4:C5"/>
    <mergeCell ref="A49:I50"/>
  </mergeCells>
  <pageMargins left="0.511811024" right="0.511811024" top="0.78740157499999996" bottom="0.78740157499999996" header="0.31496062000000002" footer="0.31496062000000002"/>
  <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AA763-FAFD-4E65-BC7C-46F8E445D1C1}">
  <sheetPr codeName="Planilha2"/>
  <dimension ref="A6:Q608"/>
  <sheetViews>
    <sheetView showGridLines="0" tabSelected="1" topLeftCell="E1" zoomScale="80" zoomScaleNormal="80" workbookViewId="0">
      <selection activeCell="I10" sqref="I10"/>
    </sheetView>
  </sheetViews>
  <sheetFormatPr defaultColWidth="20.7109375" defaultRowHeight="15" x14ac:dyDescent="0.25"/>
  <cols>
    <col min="1" max="1" width="27.42578125" bestFit="1" customWidth="1"/>
    <col min="3" max="3" width="27.5703125" bestFit="1" customWidth="1"/>
    <col min="4" max="4" width="30.28515625" customWidth="1"/>
    <col min="5" max="5" width="33.7109375" bestFit="1" customWidth="1"/>
    <col min="8" max="8" width="39.28515625" bestFit="1" customWidth="1"/>
    <col min="10" max="10" width="20.7109375" style="26"/>
    <col min="13" max="14" width="18" bestFit="1" customWidth="1"/>
  </cols>
  <sheetData>
    <row r="6" spans="1:17" x14ac:dyDescent="0.25">
      <c r="A6" s="14" t="s">
        <v>17</v>
      </c>
      <c r="B6" s="44">
        <f>SUMIF(Tabela2[Tipo],"Entrada",Tabela2[Valor (R$)])</f>
        <v>0</v>
      </c>
      <c r="C6" s="45" t="s">
        <v>74</v>
      </c>
      <c r="D6" s="51">
        <f>COUNTIF(Tabela2[[Status ]],"Pendente")</f>
        <v>0</v>
      </c>
      <c r="J6"/>
    </row>
    <row r="7" spans="1:17" ht="15" customHeight="1" x14ac:dyDescent="0.25">
      <c r="A7" s="15" t="s">
        <v>18</v>
      </c>
      <c r="B7" s="46">
        <f>SUMIF(Tabela2[Tipo],"Saída",Tabela2[Valor (R$)])</f>
        <v>0</v>
      </c>
      <c r="C7" s="47" t="s">
        <v>71</v>
      </c>
      <c r="D7" s="50">
        <f ca="1">IF(B8&lt;=0,0,B8/(EOMONTH(TODAY(),0)-TODAY()+1))</f>
        <v>0</v>
      </c>
      <c r="J7"/>
      <c r="L7" s="3"/>
    </row>
    <row r="8" spans="1:17" ht="15" customHeight="1" x14ac:dyDescent="0.25">
      <c r="A8" s="16" t="s">
        <v>19</v>
      </c>
      <c r="B8" s="48">
        <f>B6-B7</f>
        <v>0</v>
      </c>
      <c r="C8" s="49"/>
      <c r="D8" s="49"/>
      <c r="E8" s="2"/>
      <c r="J8"/>
      <c r="L8" s="3"/>
    </row>
    <row r="9" spans="1:17" x14ac:dyDescent="0.25">
      <c r="A9" s="64" t="s">
        <v>0</v>
      </c>
      <c r="B9" s="64" t="s">
        <v>6</v>
      </c>
      <c r="C9" s="64" t="s">
        <v>11</v>
      </c>
      <c r="D9" s="65" t="s">
        <v>1</v>
      </c>
      <c r="E9" s="65" t="s">
        <v>2</v>
      </c>
      <c r="F9" s="65" t="s">
        <v>3</v>
      </c>
      <c r="G9" s="65" t="s">
        <v>4</v>
      </c>
      <c r="H9" s="65" t="s">
        <v>145</v>
      </c>
      <c r="I9" s="66" t="s">
        <v>65</v>
      </c>
      <c r="J9" s="66" t="s">
        <v>72</v>
      </c>
      <c r="K9" s="66" t="s">
        <v>73</v>
      </c>
      <c r="L9" s="66" t="s">
        <v>5</v>
      </c>
      <c r="N9" s="55" t="s">
        <v>6</v>
      </c>
      <c r="O9" s="56" t="s">
        <v>9</v>
      </c>
      <c r="P9" s="56" t="s">
        <v>10</v>
      </c>
      <c r="Q9" s="57" t="s">
        <v>85</v>
      </c>
    </row>
    <row r="10" spans="1:17" x14ac:dyDescent="0.25">
      <c r="A10" s="8"/>
      <c r="B10" s="1" t="str">
        <f>IF(Tabela2[[#This Row],[Data]]="","",PROPER(TEXT(Tabela2[[#This Row],[Data]],"mmm")))</f>
        <v/>
      </c>
      <c r="C10" s="1" t="str">
        <f>IF(Tabela2[[#This Row],[Data]]="","",PROPER(TEXT(Tabela2[[#This Row],[Data]],"ddd")))</f>
        <v/>
      </c>
      <c r="D10" s="9"/>
      <c r="E10" s="9"/>
      <c r="F10" s="9"/>
      <c r="G10" s="10"/>
      <c r="H10" s="9"/>
      <c r="I10" s="22"/>
      <c r="J10" s="13"/>
      <c r="K1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0" s="22"/>
      <c r="N10" s="36" t="s">
        <v>86</v>
      </c>
      <c r="O10" s="52">
        <f>SUMIFS(Tabela2[Valor (R$)],Tabela2[Mês],"JAN",Tabela2[Tipo],"Entrada")</f>
        <v>0</v>
      </c>
      <c r="P10" s="52">
        <f>SUMIFS(Tabela2[Valor (R$)],Tabela2[Mês],"JAN",Tabela2[Tipo],"Saída")</f>
        <v>0</v>
      </c>
      <c r="Q10" s="54">
        <f>Tabela12[[#This Row],[Entrada]]-Tabela12[[#This Row],[Saída]]</f>
        <v>0</v>
      </c>
    </row>
    <row r="11" spans="1:17" x14ac:dyDescent="0.25">
      <c r="A11" s="8"/>
      <c r="B11" s="1" t="str">
        <f>IF(Tabela2[[#This Row],[Data]]="","",PROPER(TEXT(Tabela2[[#This Row],[Data]],"mmm")))</f>
        <v/>
      </c>
      <c r="C11" s="1" t="str">
        <f>IF(Tabela2[[#This Row],[Data]]="","",PROPER(TEXT(Tabela2[[#This Row],[Data]],"ddd")))</f>
        <v/>
      </c>
      <c r="D11" s="9"/>
      <c r="E11" s="9"/>
      <c r="F11" s="9"/>
      <c r="G11" s="11"/>
      <c r="H11" s="9"/>
      <c r="I11" s="22"/>
      <c r="J11" s="24"/>
      <c r="K1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1" s="22"/>
      <c r="N11" s="36" t="s">
        <v>87</v>
      </c>
      <c r="O11" s="52">
        <f>SUMIFS(Tabela2[Valor (R$)],Tabela2[Mês],"FEV",Tabela2[Tipo],"Entrada")</f>
        <v>0</v>
      </c>
      <c r="P11" s="52">
        <f>SUMIFS(Tabela2[Valor (R$)],Tabela2[Mês],"FEV",Tabela2[Tipo],"Saída")</f>
        <v>0</v>
      </c>
      <c r="Q11" s="54">
        <f>Tabela12[[#This Row],[Entrada]]-Tabela12[[#This Row],[Saída]]</f>
        <v>0</v>
      </c>
    </row>
    <row r="12" spans="1:17" x14ac:dyDescent="0.25">
      <c r="A12" s="8"/>
      <c r="B12" s="1" t="str">
        <f>IF(Tabela2[[#This Row],[Data]]="","",PROPER(TEXT(Tabela2[[#This Row],[Data]],"mmm")))</f>
        <v/>
      </c>
      <c r="C12" s="1" t="str">
        <f>IF(Tabela2[[#This Row],[Data]]="","",PROPER(TEXT(Tabela2[[#This Row],[Data]],"ddd")))</f>
        <v/>
      </c>
      <c r="D12" s="9"/>
      <c r="E12" s="9"/>
      <c r="F12" s="9"/>
      <c r="G12" s="11"/>
      <c r="H12" s="9"/>
      <c r="I12" s="22"/>
      <c r="J12" s="24"/>
      <c r="K1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2" s="22"/>
      <c r="N12" s="36" t="s">
        <v>88</v>
      </c>
      <c r="O12" s="52">
        <f>SUMIFS(Tabela2[Valor (R$)],Tabela2[Mês],"MAR",Tabela2[Tipo],"Entrada")</f>
        <v>0</v>
      </c>
      <c r="P12" s="52">
        <f>SUMIFS(Tabela2[Valor (R$)],Tabela2[Mês],"MAR",Tabela2[Tipo],"Saída")</f>
        <v>0</v>
      </c>
      <c r="Q12" s="54">
        <f>Tabela12[[#This Row],[Entrada]]-Tabela12[[#This Row],[Saída]]</f>
        <v>0</v>
      </c>
    </row>
    <row r="13" spans="1:17" x14ac:dyDescent="0.25">
      <c r="A13" s="8"/>
      <c r="B13" s="1" t="str">
        <f>IF(Tabela2[[#This Row],[Data]]="","",PROPER(TEXT(Tabela2[[#This Row],[Data]],"mmm")))</f>
        <v/>
      </c>
      <c r="C13" s="1" t="str">
        <f>IF(Tabela2[[#This Row],[Data]]="","",PROPER(TEXT(Tabela2[[#This Row],[Data]],"ddd")))</f>
        <v/>
      </c>
      <c r="D13" s="9"/>
      <c r="E13" s="9"/>
      <c r="F13" s="9"/>
      <c r="G13" s="10"/>
      <c r="H13" s="9"/>
      <c r="I13" s="22"/>
      <c r="J13" s="13"/>
      <c r="K1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3" s="22"/>
      <c r="N13" s="36" t="s">
        <v>89</v>
      </c>
      <c r="O13" s="52">
        <f>SUMIFS(Tabela2[Valor (R$)],Tabela2[Mês],"ABR",Tabela2[Tipo],"Entrada")</f>
        <v>0</v>
      </c>
      <c r="P13" s="52">
        <f>SUMIFS(Tabela2[Valor (R$)],Tabela2[Mês],"ABR",Tabela2[Tipo],"Saída")</f>
        <v>0</v>
      </c>
      <c r="Q13" s="54">
        <f>Tabela12[[#This Row],[Entrada]]-Tabela12[[#This Row],[Saída]]</f>
        <v>0</v>
      </c>
    </row>
    <row r="14" spans="1:17" x14ac:dyDescent="0.25">
      <c r="A14" s="8"/>
      <c r="B14" s="1" t="str">
        <f>IF(Tabela2[[#This Row],[Data]]="","",PROPER(TEXT(Tabela2[[#This Row],[Data]],"mmm")))</f>
        <v/>
      </c>
      <c r="C14" s="1" t="str">
        <f>IF(Tabela2[[#This Row],[Data]]="","",PROPER(TEXT(Tabela2[[#This Row],[Data]],"ddd")))</f>
        <v/>
      </c>
      <c r="D14" s="9"/>
      <c r="E14" s="9"/>
      <c r="F14" s="9"/>
      <c r="G14" s="11"/>
      <c r="H14" s="9"/>
      <c r="I14" s="22"/>
      <c r="J14" s="24"/>
      <c r="K1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4" s="22"/>
      <c r="N14" s="36" t="s">
        <v>90</v>
      </c>
      <c r="O14" s="52">
        <f>SUMIFS(Tabela2[Valor (R$)],Tabela2[Mês],"MAI",Tabela2[Tipo],"Entrada")</f>
        <v>0</v>
      </c>
      <c r="P14" s="52">
        <f>SUMIFS(Tabela2[Valor (R$)],Tabela2[Mês],"MAI",Tabela2[Tipo],"Saída")</f>
        <v>0</v>
      </c>
      <c r="Q14" s="54">
        <f>Tabela12[[#This Row],[Entrada]]-Tabela12[[#This Row],[Saída]]</f>
        <v>0</v>
      </c>
    </row>
    <row r="15" spans="1:17" x14ac:dyDescent="0.25">
      <c r="A15" s="8"/>
      <c r="B15" s="1" t="str">
        <f>IF(Tabela2[[#This Row],[Data]]="","",PROPER(TEXT(Tabela2[[#This Row],[Data]],"mmm")))</f>
        <v/>
      </c>
      <c r="C15" s="1" t="str">
        <f>IF(Tabela2[[#This Row],[Data]]="","",PROPER(TEXT(Tabela2[[#This Row],[Data]],"ddd")))</f>
        <v/>
      </c>
      <c r="D15" s="9"/>
      <c r="E15" s="9"/>
      <c r="F15" s="9"/>
      <c r="G15" s="11"/>
      <c r="H15" s="9"/>
      <c r="I15" s="22"/>
      <c r="J15" s="24"/>
      <c r="K1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5" s="22"/>
      <c r="N15" s="36" t="s">
        <v>91</v>
      </c>
      <c r="O15" s="52">
        <f>SUMIFS(Tabela2[Valor (R$)],Tabela2[Mês],"JUN",Tabela2[Tipo],"Entrada")</f>
        <v>0</v>
      </c>
      <c r="P15" s="52">
        <f>SUMIFS(Tabela2[Valor (R$)],Tabela2[Mês],"JUN",Tabela2[Tipo],"Saída")</f>
        <v>0</v>
      </c>
      <c r="Q15" s="54">
        <f>Tabela12[[#This Row],[Entrada]]-Tabela12[[#This Row],[Saída]]</f>
        <v>0</v>
      </c>
    </row>
    <row r="16" spans="1:17" x14ac:dyDescent="0.25">
      <c r="A16" s="8"/>
      <c r="B16" s="1" t="str">
        <f>IF(Tabela2[[#This Row],[Data]]="","",PROPER(TEXT(Tabela2[[#This Row],[Data]],"mmm")))</f>
        <v/>
      </c>
      <c r="C16" s="1" t="str">
        <f>IF(Tabela2[[#This Row],[Data]]="","",PROPER(TEXT(Tabela2[[#This Row],[Data]],"ddd")))</f>
        <v/>
      </c>
      <c r="D16" s="9"/>
      <c r="E16" s="9"/>
      <c r="F16" s="9"/>
      <c r="G16" s="10"/>
      <c r="H16" s="9"/>
      <c r="I16" s="22"/>
      <c r="J16" s="13"/>
      <c r="K1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6" s="22"/>
      <c r="N16" s="36" t="s">
        <v>92</v>
      </c>
      <c r="O16" s="52">
        <f>SUMIFS(Tabela2[Valor (R$)],Tabela2[Mês],"JUL",Tabela2[Tipo],"Entrada")</f>
        <v>0</v>
      </c>
      <c r="P16" s="52">
        <f>SUMIFS(Tabela2[Valor (R$)],Tabela2[Mês],"JUL",Tabela2[Tipo],"Saída")</f>
        <v>0</v>
      </c>
      <c r="Q16" s="54">
        <f>Tabela12[[#This Row],[Entrada]]-Tabela12[[#This Row],[Saída]]</f>
        <v>0</v>
      </c>
    </row>
    <row r="17" spans="1:17" x14ac:dyDescent="0.25">
      <c r="A17" s="8"/>
      <c r="B17" s="1" t="str">
        <f>IF(Tabela2[[#This Row],[Data]]="","",PROPER(TEXT(Tabela2[[#This Row],[Data]],"mmm")))</f>
        <v/>
      </c>
      <c r="C17" s="1" t="str">
        <f>IF(Tabela2[[#This Row],[Data]]="","",PROPER(TEXT(Tabela2[[#This Row],[Data]],"ddd")))</f>
        <v/>
      </c>
      <c r="D17" s="9"/>
      <c r="E17" s="9"/>
      <c r="F17" s="9"/>
      <c r="G17" s="11"/>
      <c r="H17" s="9"/>
      <c r="I17" s="22"/>
      <c r="J17" s="24"/>
      <c r="K1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7" s="22"/>
      <c r="N17" s="36" t="s">
        <v>93</v>
      </c>
      <c r="O17" s="52">
        <f>SUMIFS(Tabela2[Valor (R$)],Tabela2[Mês],"AGO",Tabela2[Tipo],"Entrada")</f>
        <v>0</v>
      </c>
      <c r="P17" s="52">
        <f>SUMIFS(Tabela2[Valor (R$)],Tabela2[Mês],"AGO",Tabela2[Tipo],"Saída")</f>
        <v>0</v>
      </c>
      <c r="Q17" s="54">
        <f>Tabela12[[#This Row],[Entrada]]-Tabela12[[#This Row],[Saída]]</f>
        <v>0</v>
      </c>
    </row>
    <row r="18" spans="1:17" x14ac:dyDescent="0.25">
      <c r="A18" s="8"/>
      <c r="B18" s="1" t="str">
        <f>IF(Tabela2[[#This Row],[Data]]="","",PROPER(TEXT(Tabela2[[#This Row],[Data]],"mmm")))</f>
        <v/>
      </c>
      <c r="C18" s="1" t="str">
        <f>IF(Tabela2[[#This Row],[Data]]="","",PROPER(TEXT(Tabela2[[#This Row],[Data]],"ddd")))</f>
        <v/>
      </c>
      <c r="D18" s="9"/>
      <c r="E18" s="9"/>
      <c r="F18" s="9"/>
      <c r="G18" s="11"/>
      <c r="H18" s="9"/>
      <c r="I18" s="22"/>
      <c r="J18" s="24"/>
      <c r="K1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8" s="22"/>
      <c r="N18" s="36" t="s">
        <v>94</v>
      </c>
      <c r="O18" s="52">
        <f>SUMIFS(Tabela2[Valor (R$)],Tabela2[Mês],"SET",Tabela2[Tipo],"Entrada")</f>
        <v>0</v>
      </c>
      <c r="P18" s="52">
        <f>SUMIFS(Tabela2[Valor (R$)],Tabela2[Mês],"SET",Tabela2[Tipo],"Saída")</f>
        <v>0</v>
      </c>
      <c r="Q18" s="54">
        <f>Tabela12[[#This Row],[Entrada]]-Tabela12[[#This Row],[Saída]]</f>
        <v>0</v>
      </c>
    </row>
    <row r="19" spans="1:17" x14ac:dyDescent="0.25">
      <c r="A19" s="8"/>
      <c r="B19" s="1" t="str">
        <f>IF(Tabela2[[#This Row],[Data]]="","",PROPER(TEXT(Tabela2[[#This Row],[Data]],"mmm")))</f>
        <v/>
      </c>
      <c r="C19" s="1" t="str">
        <f>IF(Tabela2[[#This Row],[Data]]="","",PROPER(TEXT(Tabela2[[#This Row],[Data]],"ddd")))</f>
        <v/>
      </c>
      <c r="D19" s="9"/>
      <c r="E19" s="9"/>
      <c r="F19" s="9"/>
      <c r="G19" s="10"/>
      <c r="H19" s="9"/>
      <c r="I19" s="22"/>
      <c r="J19" s="13"/>
      <c r="K1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9" s="22"/>
      <c r="N19" s="36" t="s">
        <v>95</v>
      </c>
      <c r="O19" s="52">
        <f>SUMIFS(Tabela2[Valor (R$)],Tabela2[Mês],"OUT",Tabela2[Tipo],"Entrada")</f>
        <v>0</v>
      </c>
      <c r="P19" s="52">
        <f>SUMIFS(Tabela2[Valor (R$)],Tabela2[Mês],"OUT",Tabela2[Tipo],"Saída")</f>
        <v>0</v>
      </c>
      <c r="Q19" s="54">
        <f>Tabela12[[#This Row],[Entrada]]-Tabela12[[#This Row],[Saída]]</f>
        <v>0</v>
      </c>
    </row>
    <row r="20" spans="1:17" x14ac:dyDescent="0.25">
      <c r="A20" s="8"/>
      <c r="B20" s="1" t="str">
        <f>IF(Tabela2[[#This Row],[Data]]="","",PROPER(TEXT(Tabela2[[#This Row],[Data]],"mmm")))</f>
        <v/>
      </c>
      <c r="C20" s="1" t="str">
        <f>IF(Tabela2[[#This Row],[Data]]="","",PROPER(TEXT(Tabela2[[#This Row],[Data]],"ddd")))</f>
        <v/>
      </c>
      <c r="D20" s="9"/>
      <c r="E20" s="9"/>
      <c r="F20" s="9"/>
      <c r="G20" s="11"/>
      <c r="H20" s="9"/>
      <c r="I20" s="22"/>
      <c r="J20" s="24"/>
      <c r="K2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0" s="22"/>
      <c r="N20" s="36" t="s">
        <v>96</v>
      </c>
      <c r="O20" s="52">
        <f>SUMIFS(Tabela2[Valor (R$)],Tabela2[Mês],"NOV",Tabela2[Tipo],"Entrada")</f>
        <v>0</v>
      </c>
      <c r="P20" s="52">
        <f>SUMIFS(Tabela2[Valor (R$)],Tabela2[Mês],"NOV",Tabela2[Tipo],"Saída")</f>
        <v>0</v>
      </c>
      <c r="Q20" s="54">
        <f>Tabela12[[#This Row],[Entrada]]-Tabela12[[#This Row],[Saída]]</f>
        <v>0</v>
      </c>
    </row>
    <row r="21" spans="1:17" x14ac:dyDescent="0.25">
      <c r="A21" s="8"/>
      <c r="B21" s="1" t="str">
        <f>IF(Tabela2[[#This Row],[Data]]="","",PROPER(TEXT(Tabela2[[#This Row],[Data]],"mmm")))</f>
        <v/>
      </c>
      <c r="C21" s="1" t="str">
        <f>IF(Tabela2[[#This Row],[Data]]="","",PROPER(TEXT(Tabela2[[#This Row],[Data]],"ddd")))</f>
        <v/>
      </c>
      <c r="D21" s="9"/>
      <c r="E21" s="9"/>
      <c r="F21" s="9"/>
      <c r="G21" s="11"/>
      <c r="H21" s="9"/>
      <c r="I21" s="22"/>
      <c r="J21" s="24"/>
      <c r="K2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1" s="22"/>
      <c r="N21" s="40" t="s">
        <v>97</v>
      </c>
      <c r="O21" s="53">
        <f>SUMIFS(Tabela2[Valor (R$)],Tabela2[Mês],"DEZ",Tabela2[Tipo],"Entrada")</f>
        <v>0</v>
      </c>
      <c r="P21" s="53">
        <f>SUMIFS(Tabela2[Valor (R$)],Tabela2[Mês],"DEZ",Tabela2[Tipo],"Saída")</f>
        <v>0</v>
      </c>
      <c r="Q21" s="54">
        <f>Tabela12[[#This Row],[Entrada]]-Tabela12[[#This Row],[Saída]]</f>
        <v>0</v>
      </c>
    </row>
    <row r="22" spans="1:17" x14ac:dyDescent="0.25">
      <c r="A22" s="8"/>
      <c r="B22" s="1" t="str">
        <f>IF(Tabela2[[#This Row],[Data]]="","",PROPER(TEXT(Tabela2[[#This Row],[Data]],"mmm")))</f>
        <v/>
      </c>
      <c r="C22" s="1" t="str">
        <f>IF(Tabela2[[#This Row],[Data]]="","",PROPER(TEXT(Tabela2[[#This Row],[Data]],"ddd")))</f>
        <v/>
      </c>
      <c r="D22" s="9"/>
      <c r="E22" s="9"/>
      <c r="F22" s="9"/>
      <c r="G22" s="10"/>
      <c r="H22" s="9"/>
      <c r="I22" s="22"/>
      <c r="J22" s="13"/>
      <c r="K22" s="42"/>
      <c r="L22" s="22"/>
    </row>
    <row r="23" spans="1:17" x14ac:dyDescent="0.25">
      <c r="A23" s="8"/>
      <c r="B23" s="1" t="str">
        <f>IF(Tabela2[[#This Row],[Data]]="","",PROPER(TEXT(Tabela2[[#This Row],[Data]],"mmm")))</f>
        <v/>
      </c>
      <c r="C23" s="1" t="str">
        <f>IF(Tabela2[[#This Row],[Data]]="","",PROPER(TEXT(Tabela2[[#This Row],[Data]],"ddd")))</f>
        <v/>
      </c>
      <c r="D23" s="9"/>
      <c r="E23" s="9"/>
      <c r="F23" s="9"/>
      <c r="G23" s="11"/>
      <c r="H23" s="9"/>
      <c r="I23" s="22"/>
      <c r="J23" s="24"/>
      <c r="K23" s="42"/>
      <c r="L23" s="22"/>
    </row>
    <row r="24" spans="1:17" x14ac:dyDescent="0.25">
      <c r="A24" s="8"/>
      <c r="B24" s="1" t="str">
        <f>IF(Tabela2[[#This Row],[Data]]="","",PROPER(TEXT(Tabela2[[#This Row],[Data]],"mmm")))</f>
        <v/>
      </c>
      <c r="C24" s="1" t="str">
        <f>IF(Tabela2[[#This Row],[Data]]="","",PROPER(TEXT(Tabela2[[#This Row],[Data]],"ddd")))</f>
        <v/>
      </c>
      <c r="D24" s="9"/>
      <c r="E24" s="9"/>
      <c r="F24" s="9"/>
      <c r="G24" s="11"/>
      <c r="H24" s="9"/>
      <c r="I24" s="22"/>
      <c r="J24" s="24"/>
      <c r="K24" s="42"/>
      <c r="L24" s="22"/>
    </row>
    <row r="25" spans="1:17" x14ac:dyDescent="0.25">
      <c r="A25" s="8"/>
      <c r="B25" s="1" t="str">
        <f>IF(Tabela2[[#This Row],[Data]]="","",PROPER(TEXT(Tabela2[[#This Row],[Data]],"mmm")))</f>
        <v/>
      </c>
      <c r="C25" s="1" t="str">
        <f>IF(Tabela2[[#This Row],[Data]]="","",PROPER(TEXT(Tabela2[[#This Row],[Data]],"ddd")))</f>
        <v/>
      </c>
      <c r="D25" s="9"/>
      <c r="E25" s="9"/>
      <c r="F25" s="9"/>
      <c r="G25" s="10"/>
      <c r="H25" s="9"/>
      <c r="I25" s="22"/>
      <c r="J25" s="13"/>
      <c r="K25" s="42"/>
      <c r="L25" s="22"/>
    </row>
    <row r="26" spans="1:17" x14ac:dyDescent="0.25">
      <c r="A26" s="8"/>
      <c r="B26" s="1" t="str">
        <f>IF(Tabela2[[#This Row],[Data]]="","",PROPER(TEXT(Tabela2[[#This Row],[Data]],"mmm")))</f>
        <v/>
      </c>
      <c r="C26" s="1" t="str">
        <f>IF(Tabela2[[#This Row],[Data]]="","",PROPER(TEXT(Tabela2[[#This Row],[Data]],"ddd")))</f>
        <v/>
      </c>
      <c r="D26" s="9"/>
      <c r="E26" s="9"/>
      <c r="F26" s="9"/>
      <c r="G26" s="11"/>
      <c r="H26" s="9"/>
      <c r="I26" s="22"/>
      <c r="J26" s="24"/>
      <c r="K26" s="42"/>
      <c r="L26" s="22"/>
    </row>
    <row r="27" spans="1:17" x14ac:dyDescent="0.25">
      <c r="A27" s="8"/>
      <c r="B27" s="1" t="str">
        <f>IF(Tabela2[[#This Row],[Data]]="","",PROPER(TEXT(Tabela2[[#This Row],[Data]],"mmm")))</f>
        <v/>
      </c>
      <c r="C27" s="1" t="str">
        <f>IF(Tabela2[[#This Row],[Data]]="","",PROPER(TEXT(Tabela2[[#This Row],[Data]],"ddd")))</f>
        <v/>
      </c>
      <c r="D27" s="9"/>
      <c r="E27" s="9"/>
      <c r="F27" s="9"/>
      <c r="G27" s="11"/>
      <c r="H27" s="9"/>
      <c r="I27" s="22"/>
      <c r="J27" s="24"/>
      <c r="K2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7" s="22"/>
    </row>
    <row r="28" spans="1:17" x14ac:dyDescent="0.25">
      <c r="A28" s="8"/>
      <c r="B28" s="1" t="str">
        <f>IF(Tabela2[[#This Row],[Data]]="","",PROPER(TEXT(Tabela2[[#This Row],[Data]],"mmm")))</f>
        <v/>
      </c>
      <c r="C28" s="1" t="str">
        <f>IF(Tabela2[[#This Row],[Data]]="","",PROPER(TEXT(Tabela2[[#This Row],[Data]],"ddd")))</f>
        <v/>
      </c>
      <c r="D28" s="9"/>
      <c r="E28" s="9"/>
      <c r="F28" s="9"/>
      <c r="G28" s="10"/>
      <c r="H28" s="9"/>
      <c r="I28" s="22"/>
      <c r="J28" s="24"/>
      <c r="K2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8" s="22"/>
    </row>
    <row r="29" spans="1:17" x14ac:dyDescent="0.25">
      <c r="A29" s="8"/>
      <c r="B29" s="1" t="str">
        <f>IF(Tabela2[[#This Row],[Data]]="","",PROPER(TEXT(Tabela2[[#This Row],[Data]],"mmm")))</f>
        <v/>
      </c>
      <c r="C29" s="1" t="str">
        <f>IF(Tabela2[[#This Row],[Data]]="","",PROPER(TEXT(Tabela2[[#This Row],[Data]],"ddd")))</f>
        <v/>
      </c>
      <c r="D29" s="9"/>
      <c r="E29" s="9"/>
      <c r="F29" s="9"/>
      <c r="G29" s="11"/>
      <c r="H29" s="9"/>
      <c r="I29" s="22"/>
      <c r="J29" s="24"/>
      <c r="K2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9" s="22"/>
    </row>
    <row r="30" spans="1:17" x14ac:dyDescent="0.25">
      <c r="A30" s="8"/>
      <c r="B30" s="1" t="str">
        <f>IF(Tabela2[[#This Row],[Data]]="","",PROPER(TEXT(Tabela2[[#This Row],[Data]],"mmm")))</f>
        <v/>
      </c>
      <c r="C30" s="1" t="str">
        <f>IF(Tabela2[[#This Row],[Data]]="","",PROPER(TEXT(Tabela2[[#This Row],[Data]],"ddd")))</f>
        <v/>
      </c>
      <c r="D30" s="9"/>
      <c r="E30" s="9"/>
      <c r="F30" s="9"/>
      <c r="G30" s="11"/>
      <c r="H30" s="9"/>
      <c r="I30" s="22"/>
      <c r="J30" s="24"/>
      <c r="K3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0" s="22"/>
    </row>
    <row r="31" spans="1:17" x14ac:dyDescent="0.25">
      <c r="A31" s="8"/>
      <c r="B31" s="1" t="str">
        <f>IF(Tabela2[[#This Row],[Data]]="","",PROPER(TEXT(Tabela2[[#This Row],[Data]],"mmm")))</f>
        <v/>
      </c>
      <c r="C31" s="1" t="str">
        <f>IF(Tabela2[[#This Row],[Data]]="","",PROPER(TEXT(Tabela2[[#This Row],[Data]],"ddd")))</f>
        <v/>
      </c>
      <c r="D31" s="9"/>
      <c r="E31" s="9"/>
      <c r="F31" s="9"/>
      <c r="G31" s="11"/>
      <c r="H31" s="9"/>
      <c r="I31" s="22"/>
      <c r="J31" s="24"/>
      <c r="K3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1" s="22"/>
    </row>
    <row r="32" spans="1:17" x14ac:dyDescent="0.25">
      <c r="A32" s="8"/>
      <c r="B32" s="1" t="str">
        <f>IF(Tabela2[[#This Row],[Data]]="","",PROPER(TEXT(Tabela2[[#This Row],[Data]],"mmm")))</f>
        <v/>
      </c>
      <c r="C32" s="1" t="str">
        <f>IF(Tabela2[[#This Row],[Data]]="","",PROPER(TEXT(Tabela2[[#This Row],[Data]],"ddd")))</f>
        <v/>
      </c>
      <c r="D32" s="9"/>
      <c r="E32" s="9"/>
      <c r="F32" s="9"/>
      <c r="G32" s="11"/>
      <c r="H32" s="9"/>
      <c r="I32" s="22"/>
      <c r="J32" s="24"/>
      <c r="K3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2" s="22"/>
    </row>
    <row r="33" spans="1:12" x14ac:dyDescent="0.25">
      <c r="A33" s="8"/>
      <c r="B33" s="1" t="str">
        <f>IF(Tabela2[[#This Row],[Data]]="","",PROPER(TEXT(Tabela2[[#This Row],[Data]],"mmm")))</f>
        <v/>
      </c>
      <c r="C33" s="1" t="str">
        <f>IF(Tabela2[[#This Row],[Data]]="","",PROPER(TEXT(Tabela2[[#This Row],[Data]],"ddd")))</f>
        <v/>
      </c>
      <c r="D33" s="9"/>
      <c r="E33" s="9"/>
      <c r="F33" s="9"/>
      <c r="G33" s="11"/>
      <c r="H33" s="9"/>
      <c r="I33" s="22"/>
      <c r="J33" s="24"/>
      <c r="K3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3" s="22"/>
    </row>
    <row r="34" spans="1:12" x14ac:dyDescent="0.25">
      <c r="A34" s="8"/>
      <c r="B34" s="1" t="str">
        <f>IF(Tabela2[[#This Row],[Data]]="","",PROPER(TEXT(Tabela2[[#This Row],[Data]],"mmm")))</f>
        <v/>
      </c>
      <c r="C34" s="1" t="str">
        <f>IF(Tabela2[[#This Row],[Data]]="","",PROPER(TEXT(Tabela2[[#This Row],[Data]],"ddd")))</f>
        <v/>
      </c>
      <c r="D34" s="9"/>
      <c r="E34" s="9"/>
      <c r="F34" s="9"/>
      <c r="G34" s="10"/>
      <c r="H34" s="9"/>
      <c r="I34" s="22"/>
      <c r="J34" s="24"/>
      <c r="K3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4" s="22"/>
    </row>
    <row r="35" spans="1:12" x14ac:dyDescent="0.25">
      <c r="A35" s="8"/>
      <c r="B35" s="1" t="str">
        <f>IF(Tabela2[[#This Row],[Data]]="","",PROPER(TEXT(Tabela2[[#This Row],[Data]],"mmm")))</f>
        <v/>
      </c>
      <c r="C35" s="1" t="str">
        <f>IF(Tabela2[[#This Row],[Data]]="","",PROPER(TEXT(Tabela2[[#This Row],[Data]],"ddd")))</f>
        <v/>
      </c>
      <c r="D35" s="9"/>
      <c r="E35" s="9"/>
      <c r="F35" s="9"/>
      <c r="G35" s="11"/>
      <c r="H35" s="9"/>
      <c r="I35" s="22"/>
      <c r="J35" s="24"/>
      <c r="K3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5" s="22"/>
    </row>
    <row r="36" spans="1:12" x14ac:dyDescent="0.25">
      <c r="A36" s="8"/>
      <c r="B36" s="1" t="str">
        <f>IF(Tabela2[[#This Row],[Data]]="","",PROPER(TEXT(Tabela2[[#This Row],[Data]],"mmm")))</f>
        <v/>
      </c>
      <c r="C36" s="1" t="str">
        <f>IF(Tabela2[[#This Row],[Data]]="","",PROPER(TEXT(Tabela2[[#This Row],[Data]],"ddd")))</f>
        <v/>
      </c>
      <c r="D36" s="9"/>
      <c r="E36" s="9"/>
      <c r="F36" s="9"/>
      <c r="G36" s="11"/>
      <c r="H36" s="9"/>
      <c r="I36" s="22"/>
      <c r="J36" s="24"/>
      <c r="K3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6" s="22"/>
    </row>
    <row r="37" spans="1:12" x14ac:dyDescent="0.25">
      <c r="A37" s="8"/>
      <c r="B37" s="1" t="str">
        <f>IF(Tabela2[[#This Row],[Data]]="","",PROPER(TEXT(Tabela2[[#This Row],[Data]],"mmm")))</f>
        <v/>
      </c>
      <c r="C37" s="1" t="str">
        <f>IF(Tabela2[[#This Row],[Data]]="","",PROPER(TEXT(Tabela2[[#This Row],[Data]],"ddd")))</f>
        <v/>
      </c>
      <c r="D37" s="9"/>
      <c r="E37" s="9"/>
      <c r="F37" s="9"/>
      <c r="G37" s="11"/>
      <c r="H37" s="9"/>
      <c r="I37" s="22"/>
      <c r="J37" s="24"/>
      <c r="K3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7" s="22"/>
    </row>
    <row r="38" spans="1:12" x14ac:dyDescent="0.25">
      <c r="A38" s="8"/>
      <c r="B38" s="1" t="str">
        <f>IF(Tabela2[[#This Row],[Data]]="","",PROPER(TEXT(Tabela2[[#This Row],[Data]],"mmm")))</f>
        <v/>
      </c>
      <c r="C38" s="1" t="str">
        <f>IF(Tabela2[[#This Row],[Data]]="","",PROPER(TEXT(Tabela2[[#This Row],[Data]],"ddd")))</f>
        <v/>
      </c>
      <c r="D38" s="9"/>
      <c r="E38" s="9"/>
      <c r="F38" s="9"/>
      <c r="G38" s="11"/>
      <c r="H38" s="9"/>
      <c r="I38" s="22"/>
      <c r="J38" s="24"/>
      <c r="K3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8" s="22"/>
    </row>
    <row r="39" spans="1:12" x14ac:dyDescent="0.25">
      <c r="A39" s="8"/>
      <c r="B39" s="1" t="str">
        <f>IF(Tabela2[[#This Row],[Data]]="","",PROPER(TEXT(Tabela2[[#This Row],[Data]],"mmm")))</f>
        <v/>
      </c>
      <c r="C39" s="1" t="str">
        <f>IF(Tabela2[[#This Row],[Data]]="","",PROPER(TEXT(Tabela2[[#This Row],[Data]],"ddd")))</f>
        <v/>
      </c>
      <c r="D39" s="9"/>
      <c r="E39" s="9"/>
      <c r="F39" s="9"/>
      <c r="G39" s="11"/>
      <c r="H39" s="9"/>
      <c r="I39" s="22"/>
      <c r="J39" s="24"/>
      <c r="K3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9" s="22"/>
    </row>
    <row r="40" spans="1:12" x14ac:dyDescent="0.25">
      <c r="A40" s="8"/>
      <c r="B40" s="1" t="str">
        <f>IF(Tabela2[[#This Row],[Data]]="","",PROPER(TEXT(Tabela2[[#This Row],[Data]],"mmm")))</f>
        <v/>
      </c>
      <c r="C40" s="1" t="str">
        <f>IF(Tabela2[[#This Row],[Data]]="","",PROPER(TEXT(Tabela2[[#This Row],[Data]],"ddd")))</f>
        <v/>
      </c>
      <c r="D40" s="9"/>
      <c r="E40" s="9"/>
      <c r="F40" s="9"/>
      <c r="G40" s="10"/>
      <c r="H40" s="9"/>
      <c r="I40" s="22"/>
      <c r="J40" s="24"/>
      <c r="K4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0" s="22"/>
    </row>
    <row r="41" spans="1:12" x14ac:dyDescent="0.25">
      <c r="A41" s="8"/>
      <c r="B41" s="1" t="str">
        <f>IF(Tabela2[[#This Row],[Data]]="","",PROPER(TEXT(Tabela2[[#This Row],[Data]],"mmm")))</f>
        <v/>
      </c>
      <c r="C41" s="1" t="str">
        <f>IF(Tabela2[[#This Row],[Data]]="","",PROPER(TEXT(Tabela2[[#This Row],[Data]],"ddd")))</f>
        <v/>
      </c>
      <c r="D41" s="9"/>
      <c r="E41" s="9"/>
      <c r="F41" s="9"/>
      <c r="G41" s="11"/>
      <c r="H41" s="9"/>
      <c r="I41" s="22"/>
      <c r="J41" s="24"/>
      <c r="K4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1" s="22"/>
    </row>
    <row r="42" spans="1:12" x14ac:dyDescent="0.25">
      <c r="A42" s="8"/>
      <c r="B42" s="1" t="str">
        <f>IF(Tabela2[[#This Row],[Data]]="","",PROPER(TEXT(Tabela2[[#This Row],[Data]],"mmm")))</f>
        <v/>
      </c>
      <c r="C42" s="1" t="str">
        <f>IF(Tabela2[[#This Row],[Data]]="","",PROPER(TEXT(Tabela2[[#This Row],[Data]],"ddd")))</f>
        <v/>
      </c>
      <c r="D42" s="9"/>
      <c r="E42" s="9"/>
      <c r="F42" s="9"/>
      <c r="G42" s="11"/>
      <c r="H42" s="9"/>
      <c r="I42" s="22"/>
      <c r="J42" s="24"/>
      <c r="K4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2" s="22"/>
    </row>
    <row r="43" spans="1:12" x14ac:dyDescent="0.25">
      <c r="A43" s="8"/>
      <c r="B43" s="1" t="str">
        <f>IF(Tabela2[[#This Row],[Data]]="","",PROPER(TEXT(Tabela2[[#This Row],[Data]],"mmm")))</f>
        <v/>
      </c>
      <c r="C43" s="1" t="str">
        <f>IF(Tabela2[[#This Row],[Data]]="","",PROPER(TEXT(Tabela2[[#This Row],[Data]],"ddd")))</f>
        <v/>
      </c>
      <c r="D43" s="9"/>
      <c r="E43" s="9"/>
      <c r="F43" s="9"/>
      <c r="G43" s="11"/>
      <c r="H43" s="9"/>
      <c r="I43" s="22"/>
      <c r="J43" s="24"/>
      <c r="K4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3" s="22"/>
    </row>
    <row r="44" spans="1:12" x14ac:dyDescent="0.25">
      <c r="A44" s="8"/>
      <c r="B44" s="1" t="str">
        <f>IF(Tabela2[[#This Row],[Data]]="","",PROPER(TEXT(Tabela2[[#This Row],[Data]],"mmm")))</f>
        <v/>
      </c>
      <c r="C44" s="1" t="str">
        <f>IF(Tabela2[[#This Row],[Data]]="","",PROPER(TEXT(Tabela2[[#This Row],[Data]],"ddd")))</f>
        <v/>
      </c>
      <c r="D44" s="9"/>
      <c r="E44" s="9"/>
      <c r="F44" s="9"/>
      <c r="G44" s="11"/>
      <c r="H44" s="9"/>
      <c r="I44" s="22"/>
      <c r="J44" s="24"/>
      <c r="K4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4" s="22"/>
    </row>
    <row r="45" spans="1:12" x14ac:dyDescent="0.25">
      <c r="A45" s="8"/>
      <c r="B45" s="1" t="str">
        <f>IF(Tabela2[[#This Row],[Data]]="","",PROPER(TEXT(Tabela2[[#This Row],[Data]],"mmm")))</f>
        <v/>
      </c>
      <c r="C45" s="1" t="str">
        <f>IF(Tabela2[[#This Row],[Data]]="","",PROPER(TEXT(Tabela2[[#This Row],[Data]],"ddd")))</f>
        <v/>
      </c>
      <c r="D45" s="9"/>
      <c r="E45" s="9"/>
      <c r="F45" s="9"/>
      <c r="G45" s="11"/>
      <c r="H45" s="9"/>
      <c r="I45" s="22"/>
      <c r="J45" s="24"/>
      <c r="K4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5" s="22"/>
    </row>
    <row r="46" spans="1:12" x14ac:dyDescent="0.25">
      <c r="A46" s="8"/>
      <c r="B46" s="1" t="str">
        <f>IF(Tabela2[[#This Row],[Data]]="","",PROPER(TEXT(Tabela2[[#This Row],[Data]],"mmm")))</f>
        <v/>
      </c>
      <c r="C46" s="1" t="str">
        <f>IF(Tabela2[[#This Row],[Data]]="","",PROPER(TEXT(Tabela2[[#This Row],[Data]],"ddd")))</f>
        <v/>
      </c>
      <c r="D46" s="9"/>
      <c r="E46" s="9"/>
      <c r="F46" s="9"/>
      <c r="G46" s="10"/>
      <c r="H46" s="9"/>
      <c r="I46" s="22"/>
      <c r="J46" s="24"/>
      <c r="K4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6" s="22"/>
    </row>
    <row r="47" spans="1:12" x14ac:dyDescent="0.25">
      <c r="A47" s="8"/>
      <c r="B47" s="1" t="str">
        <f>IF(Tabela2[[#This Row],[Data]]="","",PROPER(TEXT(Tabela2[[#This Row],[Data]],"mmm")))</f>
        <v/>
      </c>
      <c r="C47" s="1" t="str">
        <f>IF(Tabela2[[#This Row],[Data]]="","",PROPER(TEXT(Tabela2[[#This Row],[Data]],"ddd")))</f>
        <v/>
      </c>
      <c r="D47" s="9"/>
      <c r="E47" s="9"/>
      <c r="F47" s="9"/>
      <c r="G47" s="11"/>
      <c r="H47" s="9"/>
      <c r="I47" s="22"/>
      <c r="J47" s="24"/>
      <c r="K4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7" s="22"/>
    </row>
    <row r="48" spans="1:12" x14ac:dyDescent="0.25">
      <c r="A48" s="8"/>
      <c r="B48" s="1" t="str">
        <f>IF(Tabela2[[#This Row],[Data]]="","",PROPER(TEXT(Tabela2[[#This Row],[Data]],"mmm")))</f>
        <v/>
      </c>
      <c r="C48" s="1" t="str">
        <f>IF(Tabela2[[#This Row],[Data]]="","",PROPER(TEXT(Tabela2[[#This Row],[Data]],"ddd")))</f>
        <v/>
      </c>
      <c r="D48" s="9"/>
      <c r="E48" s="9"/>
      <c r="F48" s="9"/>
      <c r="G48" s="11"/>
      <c r="H48" s="9"/>
      <c r="I48" s="22"/>
      <c r="J48" s="24"/>
      <c r="K4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8" s="22"/>
    </row>
    <row r="49" spans="1:12" x14ac:dyDescent="0.25">
      <c r="A49" s="8"/>
      <c r="B49" s="1" t="str">
        <f>IF(Tabela2[[#This Row],[Data]]="","",PROPER(TEXT(Tabela2[[#This Row],[Data]],"mmm")))</f>
        <v/>
      </c>
      <c r="C49" s="1" t="str">
        <f>IF(Tabela2[[#This Row],[Data]]="","",PROPER(TEXT(Tabela2[[#This Row],[Data]],"ddd")))</f>
        <v/>
      </c>
      <c r="D49" s="9"/>
      <c r="E49" s="9"/>
      <c r="F49" s="9"/>
      <c r="G49" s="11"/>
      <c r="H49" s="9"/>
      <c r="I49" s="22"/>
      <c r="J49" s="24"/>
      <c r="K4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9" s="22"/>
    </row>
    <row r="50" spans="1:12" x14ac:dyDescent="0.25">
      <c r="A50" s="8"/>
      <c r="B50" s="1" t="str">
        <f>IF(Tabela2[[#This Row],[Data]]="","",PROPER(TEXT(Tabela2[[#This Row],[Data]],"mmm")))</f>
        <v/>
      </c>
      <c r="C50" s="1" t="str">
        <f>IF(Tabela2[[#This Row],[Data]]="","",PROPER(TEXT(Tabela2[[#This Row],[Data]],"ddd")))</f>
        <v/>
      </c>
      <c r="D50" s="9"/>
      <c r="E50" s="9"/>
      <c r="F50" s="9"/>
      <c r="G50" s="11"/>
      <c r="H50" s="9"/>
      <c r="I50" s="22"/>
      <c r="J50" s="24"/>
      <c r="K5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0" s="22"/>
    </row>
    <row r="51" spans="1:12" x14ac:dyDescent="0.25">
      <c r="A51" s="8"/>
      <c r="B51" s="1" t="str">
        <f>IF(Tabela2[[#This Row],[Data]]="","",PROPER(TEXT(Tabela2[[#This Row],[Data]],"mmm")))</f>
        <v/>
      </c>
      <c r="C51" s="1" t="str">
        <f>IF(Tabela2[[#This Row],[Data]]="","",PROPER(TEXT(Tabela2[[#This Row],[Data]],"ddd")))</f>
        <v/>
      </c>
      <c r="D51" s="9"/>
      <c r="E51" s="9"/>
      <c r="F51" s="9"/>
      <c r="G51" s="11"/>
      <c r="H51" s="9"/>
      <c r="I51" s="22"/>
      <c r="J51" s="24"/>
      <c r="K5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1" s="22"/>
    </row>
    <row r="52" spans="1:12" x14ac:dyDescent="0.25">
      <c r="A52" s="8"/>
      <c r="B52" s="1" t="str">
        <f>IF(Tabela2[[#This Row],[Data]]="","",PROPER(TEXT(Tabela2[[#This Row],[Data]],"mmm")))</f>
        <v/>
      </c>
      <c r="C52" s="1" t="str">
        <f>IF(Tabela2[[#This Row],[Data]]="","",PROPER(TEXT(Tabela2[[#This Row],[Data]],"ddd")))</f>
        <v/>
      </c>
      <c r="D52" s="9"/>
      <c r="E52" s="9"/>
      <c r="F52" s="9"/>
      <c r="G52" s="10"/>
      <c r="H52" s="9"/>
      <c r="I52" s="22"/>
      <c r="J52" s="24"/>
      <c r="K5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2" s="22"/>
    </row>
    <row r="53" spans="1:12" x14ac:dyDescent="0.25">
      <c r="A53" s="8"/>
      <c r="B53" s="1" t="str">
        <f>IF(Tabela2[[#This Row],[Data]]="","",PROPER(TEXT(Tabela2[[#This Row],[Data]],"mmm")))</f>
        <v/>
      </c>
      <c r="C53" s="1" t="str">
        <f>IF(Tabela2[[#This Row],[Data]]="","",PROPER(TEXT(Tabela2[[#This Row],[Data]],"ddd")))</f>
        <v/>
      </c>
      <c r="D53" s="9"/>
      <c r="E53" s="9"/>
      <c r="F53" s="9"/>
      <c r="G53" s="11"/>
      <c r="H53" s="9"/>
      <c r="I53" s="22"/>
      <c r="J53" s="24"/>
      <c r="K5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3" s="22"/>
    </row>
    <row r="54" spans="1:12" x14ac:dyDescent="0.25">
      <c r="A54" s="8"/>
      <c r="B54" s="1" t="str">
        <f>IF(Tabela2[[#This Row],[Data]]="","",PROPER(TEXT(Tabela2[[#This Row],[Data]],"mmm")))</f>
        <v/>
      </c>
      <c r="C54" s="1" t="str">
        <f>IF(Tabela2[[#This Row],[Data]]="","",PROPER(TEXT(Tabela2[[#This Row],[Data]],"ddd")))</f>
        <v/>
      </c>
      <c r="D54" s="9"/>
      <c r="E54" s="9"/>
      <c r="F54" s="9"/>
      <c r="G54" s="11"/>
      <c r="H54" s="9"/>
      <c r="I54" s="22"/>
      <c r="J54" s="24"/>
      <c r="K5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4" s="22"/>
    </row>
    <row r="55" spans="1:12" x14ac:dyDescent="0.25">
      <c r="A55" s="8"/>
      <c r="B55" s="1" t="str">
        <f>IF(Tabela2[[#This Row],[Data]]="","",PROPER(TEXT(Tabela2[[#This Row],[Data]],"mmm")))</f>
        <v/>
      </c>
      <c r="C55" s="1" t="str">
        <f>IF(Tabela2[[#This Row],[Data]]="","",PROPER(TEXT(Tabela2[[#This Row],[Data]],"ddd")))</f>
        <v/>
      </c>
      <c r="D55" s="9"/>
      <c r="E55" s="9"/>
      <c r="F55" s="9"/>
      <c r="G55" s="11"/>
      <c r="H55" s="9"/>
      <c r="I55" s="22"/>
      <c r="J55" s="24"/>
      <c r="K5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5" s="22"/>
    </row>
    <row r="56" spans="1:12" x14ac:dyDescent="0.25">
      <c r="A56" s="8"/>
      <c r="B56" s="1" t="str">
        <f>IF(Tabela2[[#This Row],[Data]]="","",PROPER(TEXT(Tabela2[[#This Row],[Data]],"mmm")))</f>
        <v/>
      </c>
      <c r="C56" s="1" t="str">
        <f>IF(Tabela2[[#This Row],[Data]]="","",PROPER(TEXT(Tabela2[[#This Row],[Data]],"ddd")))</f>
        <v/>
      </c>
      <c r="D56" s="9"/>
      <c r="E56" s="9"/>
      <c r="F56" s="9"/>
      <c r="G56" s="11"/>
      <c r="H56" s="9"/>
      <c r="I56" s="22"/>
      <c r="J56" s="24"/>
      <c r="K5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6" s="22"/>
    </row>
    <row r="57" spans="1:12" x14ac:dyDescent="0.25">
      <c r="A57" s="8"/>
      <c r="B57" s="1" t="str">
        <f>IF(Tabela2[[#This Row],[Data]]="","",PROPER(TEXT(Tabela2[[#This Row],[Data]],"mmm")))</f>
        <v/>
      </c>
      <c r="C57" s="1" t="str">
        <f>IF(Tabela2[[#This Row],[Data]]="","",PROPER(TEXT(Tabela2[[#This Row],[Data]],"ddd")))</f>
        <v/>
      </c>
      <c r="D57" s="9"/>
      <c r="E57" s="9"/>
      <c r="F57" s="9"/>
      <c r="G57" s="11"/>
      <c r="H57" s="9"/>
      <c r="I57" s="22"/>
      <c r="J57" s="24"/>
      <c r="K5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7" s="22"/>
    </row>
    <row r="58" spans="1:12" x14ac:dyDescent="0.25">
      <c r="A58" s="8"/>
      <c r="B58" s="1" t="str">
        <f>IF(Tabela2[[#This Row],[Data]]="","",PROPER(TEXT(Tabela2[[#This Row],[Data]],"mmm")))</f>
        <v/>
      </c>
      <c r="C58" s="1" t="str">
        <f>IF(Tabela2[[#This Row],[Data]]="","",PROPER(TEXT(Tabela2[[#This Row],[Data]],"ddd")))</f>
        <v/>
      </c>
      <c r="D58" s="9"/>
      <c r="E58" s="9"/>
      <c r="F58" s="9"/>
      <c r="G58" s="10"/>
      <c r="H58" s="9"/>
      <c r="I58" s="22"/>
      <c r="J58" s="24"/>
      <c r="K5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8" s="22"/>
    </row>
    <row r="59" spans="1:12" x14ac:dyDescent="0.25">
      <c r="A59" s="8"/>
      <c r="B59" s="1" t="str">
        <f>IF(Tabela2[[#This Row],[Data]]="","",PROPER(TEXT(Tabela2[[#This Row],[Data]],"mmm")))</f>
        <v/>
      </c>
      <c r="C59" s="1" t="str">
        <f>IF(Tabela2[[#This Row],[Data]]="","",PROPER(TEXT(Tabela2[[#This Row],[Data]],"ddd")))</f>
        <v/>
      </c>
      <c r="D59" s="9"/>
      <c r="E59" s="9"/>
      <c r="F59" s="9"/>
      <c r="G59" s="11"/>
      <c r="H59" s="9"/>
      <c r="I59" s="22"/>
      <c r="J59" s="24"/>
      <c r="K5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9" s="22"/>
    </row>
    <row r="60" spans="1:12" x14ac:dyDescent="0.25">
      <c r="A60" s="8"/>
      <c r="B60" s="1" t="str">
        <f>IF(Tabela2[[#This Row],[Data]]="","",PROPER(TEXT(Tabela2[[#This Row],[Data]],"mmm")))</f>
        <v/>
      </c>
      <c r="C60" s="1" t="str">
        <f>IF(Tabela2[[#This Row],[Data]]="","",PROPER(TEXT(Tabela2[[#This Row],[Data]],"ddd")))</f>
        <v/>
      </c>
      <c r="D60" s="9"/>
      <c r="E60" s="9"/>
      <c r="F60" s="9"/>
      <c r="G60" s="11"/>
      <c r="H60" s="9"/>
      <c r="I60" s="22"/>
      <c r="J60" s="24"/>
      <c r="K6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60" s="22"/>
    </row>
    <row r="61" spans="1:12" x14ac:dyDescent="0.25">
      <c r="A61" s="8"/>
      <c r="B61" s="1" t="str">
        <f>IF(Tabela2[[#This Row],[Data]]="","",PROPER(TEXT(Tabela2[[#This Row],[Data]],"mmm")))</f>
        <v/>
      </c>
      <c r="C61" s="1" t="str">
        <f>IF(Tabela2[[#This Row],[Data]]="","",PROPER(TEXT(Tabela2[[#This Row],[Data]],"ddd")))</f>
        <v/>
      </c>
      <c r="D61" s="9"/>
      <c r="E61" s="9"/>
      <c r="F61" s="9"/>
      <c r="G61" s="11"/>
      <c r="H61" s="9"/>
      <c r="I61" s="22"/>
      <c r="J61" s="24"/>
      <c r="K6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61" s="22"/>
    </row>
    <row r="62" spans="1:12" x14ac:dyDescent="0.25">
      <c r="A62" s="8"/>
      <c r="B62" s="1" t="str">
        <f>IF(Tabela2[[#This Row],[Data]]="","",PROPER(TEXT(Tabela2[[#This Row],[Data]],"mmm")))</f>
        <v/>
      </c>
      <c r="C62" s="1" t="str">
        <f>IF(Tabela2[[#This Row],[Data]]="","",PROPER(TEXT(Tabela2[[#This Row],[Data]],"ddd")))</f>
        <v/>
      </c>
      <c r="D62" s="9"/>
      <c r="E62" s="9"/>
      <c r="F62" s="9"/>
      <c r="G62" s="11"/>
      <c r="H62" s="9"/>
      <c r="I62" s="22"/>
      <c r="J62" s="24"/>
      <c r="K6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62" s="22"/>
    </row>
    <row r="63" spans="1:12" x14ac:dyDescent="0.25">
      <c r="A63" s="8"/>
      <c r="B63" s="1" t="str">
        <f>IF(Tabela2[[#This Row],[Data]]="","",PROPER(TEXT(Tabela2[[#This Row],[Data]],"mmm")))</f>
        <v/>
      </c>
      <c r="C63" s="1" t="str">
        <f>IF(Tabela2[[#This Row],[Data]]="","",PROPER(TEXT(Tabela2[[#This Row],[Data]],"ddd")))</f>
        <v/>
      </c>
      <c r="D63" s="9"/>
      <c r="E63" s="9"/>
      <c r="F63" s="9"/>
      <c r="G63" s="11"/>
      <c r="H63" s="9"/>
      <c r="I63" s="22"/>
      <c r="J63" s="24"/>
      <c r="K6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63" s="22"/>
    </row>
    <row r="64" spans="1:12" x14ac:dyDescent="0.25">
      <c r="A64" s="8"/>
      <c r="B64" s="1" t="str">
        <f>IF(Tabela2[[#This Row],[Data]]="","",PROPER(TEXT(Tabela2[[#This Row],[Data]],"mmm")))</f>
        <v/>
      </c>
      <c r="C64" s="1" t="str">
        <f>IF(Tabela2[[#This Row],[Data]]="","",PROPER(TEXT(Tabela2[[#This Row],[Data]],"ddd")))</f>
        <v/>
      </c>
      <c r="D64" s="9"/>
      <c r="E64" s="9"/>
      <c r="F64" s="9"/>
      <c r="G64" s="10"/>
      <c r="H64" s="9"/>
      <c r="I64" s="22"/>
      <c r="J64" s="24"/>
      <c r="K6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64" s="22"/>
    </row>
    <row r="65" spans="1:12" x14ac:dyDescent="0.25">
      <c r="A65" s="8"/>
      <c r="B65" s="1" t="str">
        <f>IF(Tabela2[[#This Row],[Data]]="","",PROPER(TEXT(Tabela2[[#This Row],[Data]],"mmm")))</f>
        <v/>
      </c>
      <c r="C65" s="1" t="str">
        <f>IF(Tabela2[[#This Row],[Data]]="","",PROPER(TEXT(Tabela2[[#This Row],[Data]],"ddd")))</f>
        <v/>
      </c>
      <c r="D65" s="9"/>
      <c r="E65" s="9"/>
      <c r="F65" s="9"/>
      <c r="G65" s="11"/>
      <c r="H65" s="9"/>
      <c r="I65" s="22"/>
      <c r="J65" s="24"/>
      <c r="K6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65" s="22"/>
    </row>
    <row r="66" spans="1:12" x14ac:dyDescent="0.25">
      <c r="A66" s="8"/>
      <c r="B66" s="1" t="str">
        <f>IF(Tabela2[[#This Row],[Data]]="","",PROPER(TEXT(Tabela2[[#This Row],[Data]],"mmm")))</f>
        <v/>
      </c>
      <c r="C66" s="1" t="str">
        <f>IF(Tabela2[[#This Row],[Data]]="","",PROPER(TEXT(Tabela2[[#This Row],[Data]],"ddd")))</f>
        <v/>
      </c>
      <c r="D66" s="9"/>
      <c r="E66" s="9"/>
      <c r="F66" s="9"/>
      <c r="G66" s="11"/>
      <c r="H66" s="9"/>
      <c r="I66" s="22"/>
      <c r="J66" s="24"/>
      <c r="K6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66" s="22"/>
    </row>
    <row r="67" spans="1:12" x14ac:dyDescent="0.25">
      <c r="A67" s="8"/>
      <c r="B67" s="1" t="str">
        <f>IF(Tabela2[[#This Row],[Data]]="","",PROPER(TEXT(Tabela2[[#This Row],[Data]],"mmm")))</f>
        <v/>
      </c>
      <c r="C67" s="1" t="str">
        <f>IF(Tabela2[[#This Row],[Data]]="","",PROPER(TEXT(Tabela2[[#This Row],[Data]],"ddd")))</f>
        <v/>
      </c>
      <c r="D67" s="9"/>
      <c r="E67" s="9"/>
      <c r="F67" s="9"/>
      <c r="G67" s="11"/>
      <c r="H67" s="9"/>
      <c r="I67" s="22"/>
      <c r="J67" s="24"/>
      <c r="K6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67" s="22"/>
    </row>
    <row r="68" spans="1:12" x14ac:dyDescent="0.25">
      <c r="A68" s="8"/>
      <c r="B68" s="1" t="str">
        <f>IF(Tabela2[[#This Row],[Data]]="","",PROPER(TEXT(Tabela2[[#This Row],[Data]],"mmm")))</f>
        <v/>
      </c>
      <c r="C68" s="1" t="str">
        <f>IF(Tabela2[[#This Row],[Data]]="","",PROPER(TEXT(Tabela2[[#This Row],[Data]],"ddd")))</f>
        <v/>
      </c>
      <c r="D68" s="9"/>
      <c r="E68" s="9"/>
      <c r="F68" s="9"/>
      <c r="G68" s="11"/>
      <c r="H68" s="9"/>
      <c r="I68" s="22"/>
      <c r="J68" s="24"/>
      <c r="K6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68" s="22"/>
    </row>
    <row r="69" spans="1:12" x14ac:dyDescent="0.25">
      <c r="A69" s="8"/>
      <c r="B69" s="1" t="str">
        <f>IF(Tabela2[[#This Row],[Data]]="","",PROPER(TEXT(Tabela2[[#This Row],[Data]],"mmm")))</f>
        <v/>
      </c>
      <c r="C69" s="1" t="str">
        <f>IF(Tabela2[[#This Row],[Data]]="","",PROPER(TEXT(Tabela2[[#This Row],[Data]],"ddd")))</f>
        <v/>
      </c>
      <c r="D69" s="9"/>
      <c r="E69" s="9"/>
      <c r="F69" s="9"/>
      <c r="G69" s="11"/>
      <c r="H69" s="9"/>
      <c r="I69" s="22"/>
      <c r="J69" s="24"/>
      <c r="K6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69" s="22"/>
    </row>
    <row r="70" spans="1:12" x14ac:dyDescent="0.25">
      <c r="A70" s="8"/>
      <c r="B70" s="1" t="str">
        <f>IF(Tabela2[[#This Row],[Data]]="","",PROPER(TEXT(Tabela2[[#This Row],[Data]],"mmm")))</f>
        <v/>
      </c>
      <c r="C70" s="1" t="str">
        <f>IF(Tabela2[[#This Row],[Data]]="","",PROPER(TEXT(Tabela2[[#This Row],[Data]],"ddd")))</f>
        <v/>
      </c>
      <c r="D70" s="9"/>
      <c r="E70" s="9"/>
      <c r="F70" s="9"/>
      <c r="G70" s="10"/>
      <c r="H70" s="9"/>
      <c r="I70" s="22"/>
      <c r="J70" s="24"/>
      <c r="K7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70" s="22"/>
    </row>
    <row r="71" spans="1:12" x14ac:dyDescent="0.25">
      <c r="A71" s="8"/>
      <c r="B71" s="1" t="str">
        <f>IF(Tabela2[[#This Row],[Data]]="","",PROPER(TEXT(Tabela2[[#This Row],[Data]],"mmm")))</f>
        <v/>
      </c>
      <c r="C71" s="1" t="str">
        <f>IF(Tabela2[[#This Row],[Data]]="","",PROPER(TEXT(Tabela2[[#This Row],[Data]],"ddd")))</f>
        <v/>
      </c>
      <c r="D71" s="9"/>
      <c r="E71" s="9"/>
      <c r="F71" s="9"/>
      <c r="G71" s="11"/>
      <c r="H71" s="9"/>
      <c r="I71" s="22"/>
      <c r="J71" s="24"/>
      <c r="K7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71" s="22"/>
    </row>
    <row r="72" spans="1:12" x14ac:dyDescent="0.25">
      <c r="A72" s="8"/>
      <c r="B72" s="1" t="str">
        <f>IF(Tabela2[[#This Row],[Data]]="","",PROPER(TEXT(Tabela2[[#This Row],[Data]],"mmm")))</f>
        <v/>
      </c>
      <c r="C72" s="1" t="str">
        <f>IF(Tabela2[[#This Row],[Data]]="","",PROPER(TEXT(Tabela2[[#This Row],[Data]],"ddd")))</f>
        <v/>
      </c>
      <c r="D72" s="9"/>
      <c r="E72" s="9"/>
      <c r="F72" s="9"/>
      <c r="G72" s="11"/>
      <c r="H72" s="9"/>
      <c r="I72" s="22"/>
      <c r="J72" s="24"/>
      <c r="K7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72" s="22"/>
    </row>
    <row r="73" spans="1:12" x14ac:dyDescent="0.25">
      <c r="A73" s="8"/>
      <c r="B73" s="1" t="str">
        <f>IF(Tabela2[[#This Row],[Data]]="","",PROPER(TEXT(Tabela2[[#This Row],[Data]],"mmm")))</f>
        <v/>
      </c>
      <c r="C73" s="1" t="str">
        <f>IF(Tabela2[[#This Row],[Data]]="","",PROPER(TEXT(Tabela2[[#This Row],[Data]],"ddd")))</f>
        <v/>
      </c>
      <c r="D73" s="9"/>
      <c r="E73" s="9"/>
      <c r="F73" s="9"/>
      <c r="G73" s="11"/>
      <c r="H73" s="9"/>
      <c r="I73" s="22"/>
      <c r="J73" s="24"/>
      <c r="K7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73" s="22"/>
    </row>
    <row r="74" spans="1:12" x14ac:dyDescent="0.25">
      <c r="A74" s="8"/>
      <c r="B74" s="1" t="str">
        <f>IF(Tabela2[[#This Row],[Data]]="","",PROPER(TEXT(Tabela2[[#This Row],[Data]],"mmm")))</f>
        <v/>
      </c>
      <c r="C74" s="1" t="str">
        <f>IF(Tabela2[[#This Row],[Data]]="","",PROPER(TEXT(Tabela2[[#This Row],[Data]],"ddd")))</f>
        <v/>
      </c>
      <c r="D74" s="9"/>
      <c r="E74" s="9"/>
      <c r="F74" s="9"/>
      <c r="G74" s="11"/>
      <c r="H74" s="9"/>
      <c r="I74" s="22"/>
      <c r="J74" s="24"/>
      <c r="K7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74" s="22"/>
    </row>
    <row r="75" spans="1:12" x14ac:dyDescent="0.25">
      <c r="A75" s="8"/>
      <c r="B75" s="1" t="str">
        <f>IF(Tabela2[[#This Row],[Data]]="","",PROPER(TEXT(Tabela2[[#This Row],[Data]],"mmm")))</f>
        <v/>
      </c>
      <c r="C75" s="1" t="str">
        <f>IF(Tabela2[[#This Row],[Data]]="","",PROPER(TEXT(Tabela2[[#This Row],[Data]],"ddd")))</f>
        <v/>
      </c>
      <c r="D75" s="9"/>
      <c r="E75" s="9"/>
      <c r="F75" s="9"/>
      <c r="G75" s="11"/>
      <c r="H75" s="9"/>
      <c r="I75" s="22"/>
      <c r="J75" s="24"/>
      <c r="K7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75" s="22"/>
    </row>
    <row r="76" spans="1:12" x14ac:dyDescent="0.25">
      <c r="A76" s="8"/>
      <c r="B76" s="1" t="str">
        <f>IF(Tabela2[[#This Row],[Data]]="","",PROPER(TEXT(Tabela2[[#This Row],[Data]],"mmm")))</f>
        <v/>
      </c>
      <c r="C76" s="1" t="str">
        <f>IF(Tabela2[[#This Row],[Data]]="","",PROPER(TEXT(Tabela2[[#This Row],[Data]],"ddd")))</f>
        <v/>
      </c>
      <c r="D76" s="9"/>
      <c r="E76" s="9"/>
      <c r="F76" s="9"/>
      <c r="G76" s="10"/>
      <c r="H76" s="9"/>
      <c r="I76" s="22"/>
      <c r="J76" s="24"/>
      <c r="K7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76" s="22"/>
    </row>
    <row r="77" spans="1:12" x14ac:dyDescent="0.25">
      <c r="A77" s="8"/>
      <c r="B77" s="1" t="str">
        <f>IF(Tabela2[[#This Row],[Data]]="","",PROPER(TEXT(Tabela2[[#This Row],[Data]],"mmm")))</f>
        <v/>
      </c>
      <c r="C77" s="1" t="str">
        <f>IF(Tabela2[[#This Row],[Data]]="","",PROPER(TEXT(Tabela2[[#This Row],[Data]],"ddd")))</f>
        <v/>
      </c>
      <c r="D77" s="9"/>
      <c r="E77" s="9"/>
      <c r="F77" s="9"/>
      <c r="G77" s="11"/>
      <c r="H77" s="9"/>
      <c r="I77" s="22"/>
      <c r="J77" s="24"/>
      <c r="K7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77" s="22"/>
    </row>
    <row r="78" spans="1:12" x14ac:dyDescent="0.25">
      <c r="A78" s="8"/>
      <c r="B78" s="1" t="str">
        <f>IF(Tabela2[[#This Row],[Data]]="","",PROPER(TEXT(Tabela2[[#This Row],[Data]],"mmm")))</f>
        <v/>
      </c>
      <c r="C78" s="1" t="str">
        <f>IF(Tabela2[[#This Row],[Data]]="","",PROPER(TEXT(Tabela2[[#This Row],[Data]],"ddd")))</f>
        <v/>
      </c>
      <c r="D78" s="9"/>
      <c r="E78" s="9"/>
      <c r="F78" s="9"/>
      <c r="G78" s="11"/>
      <c r="H78" s="9"/>
      <c r="I78" s="22"/>
      <c r="J78" s="24"/>
      <c r="K7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78" s="22"/>
    </row>
    <row r="79" spans="1:12" x14ac:dyDescent="0.25">
      <c r="A79" s="8"/>
      <c r="B79" s="1" t="str">
        <f>IF(Tabela2[[#This Row],[Data]]="","",PROPER(TEXT(Tabela2[[#This Row],[Data]],"mmm")))</f>
        <v/>
      </c>
      <c r="C79" s="1" t="str">
        <f>IF(Tabela2[[#This Row],[Data]]="","",PROPER(TEXT(Tabela2[[#This Row],[Data]],"ddd")))</f>
        <v/>
      </c>
      <c r="D79" s="9"/>
      <c r="E79" s="9"/>
      <c r="F79" s="9"/>
      <c r="G79" s="11"/>
      <c r="H79" s="9"/>
      <c r="I79" s="22"/>
      <c r="J79" s="24"/>
      <c r="K7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79" s="22"/>
    </row>
    <row r="80" spans="1:12" x14ac:dyDescent="0.25">
      <c r="A80" s="8"/>
      <c r="B80" s="1" t="str">
        <f>IF(Tabela2[[#This Row],[Data]]="","",PROPER(TEXT(Tabela2[[#This Row],[Data]],"mmm")))</f>
        <v/>
      </c>
      <c r="C80" s="1" t="str">
        <f>IF(Tabela2[[#This Row],[Data]]="","",PROPER(TEXT(Tabela2[[#This Row],[Data]],"ddd")))</f>
        <v/>
      </c>
      <c r="D80" s="9"/>
      <c r="E80" s="9"/>
      <c r="F80" s="9"/>
      <c r="G80" s="11"/>
      <c r="H80" s="9"/>
      <c r="I80" s="22"/>
      <c r="J80" s="24"/>
      <c r="K8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80" s="22"/>
    </row>
    <row r="81" spans="1:12" x14ac:dyDescent="0.25">
      <c r="A81" s="8"/>
      <c r="B81" s="1" t="str">
        <f>IF(Tabela2[[#This Row],[Data]]="","",PROPER(TEXT(Tabela2[[#This Row],[Data]],"mmm")))</f>
        <v/>
      </c>
      <c r="C81" s="1" t="str">
        <f>IF(Tabela2[[#This Row],[Data]]="","",PROPER(TEXT(Tabela2[[#This Row],[Data]],"ddd")))</f>
        <v/>
      </c>
      <c r="D81" s="9"/>
      <c r="E81" s="9"/>
      <c r="F81" s="9"/>
      <c r="G81" s="11"/>
      <c r="H81" s="9"/>
      <c r="I81" s="22"/>
      <c r="J81" s="24"/>
      <c r="K8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81" s="22"/>
    </row>
    <row r="82" spans="1:12" x14ac:dyDescent="0.25">
      <c r="A82" s="8"/>
      <c r="B82" s="1" t="str">
        <f>IF(Tabela2[[#This Row],[Data]]="","",PROPER(TEXT(Tabela2[[#This Row],[Data]],"mmm")))</f>
        <v/>
      </c>
      <c r="C82" s="1" t="str">
        <f>IF(Tabela2[[#This Row],[Data]]="","",PROPER(TEXT(Tabela2[[#This Row],[Data]],"ddd")))</f>
        <v/>
      </c>
      <c r="D82" s="9"/>
      <c r="E82" s="9"/>
      <c r="F82" s="9"/>
      <c r="G82" s="10"/>
      <c r="H82" s="9"/>
      <c r="I82" s="22"/>
      <c r="J82" s="24"/>
      <c r="K8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82" s="22"/>
    </row>
    <row r="83" spans="1:12" x14ac:dyDescent="0.25">
      <c r="A83" s="8"/>
      <c r="B83" s="1" t="str">
        <f>IF(Tabela2[[#This Row],[Data]]="","",PROPER(TEXT(Tabela2[[#This Row],[Data]],"mmm")))</f>
        <v/>
      </c>
      <c r="C83" s="1" t="str">
        <f>IF(Tabela2[[#This Row],[Data]]="","",PROPER(TEXT(Tabela2[[#This Row],[Data]],"ddd")))</f>
        <v/>
      </c>
      <c r="D83" s="9"/>
      <c r="E83" s="9"/>
      <c r="F83" s="9"/>
      <c r="G83" s="11"/>
      <c r="H83" s="9"/>
      <c r="I83" s="22"/>
      <c r="J83" s="24"/>
      <c r="K8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83" s="22"/>
    </row>
    <row r="84" spans="1:12" x14ac:dyDescent="0.25">
      <c r="A84" s="8"/>
      <c r="B84" s="1" t="str">
        <f>IF(Tabela2[[#This Row],[Data]]="","",PROPER(TEXT(Tabela2[[#This Row],[Data]],"mmm")))</f>
        <v/>
      </c>
      <c r="C84" s="1" t="str">
        <f>IF(Tabela2[[#This Row],[Data]]="","",PROPER(TEXT(Tabela2[[#This Row],[Data]],"ddd")))</f>
        <v/>
      </c>
      <c r="D84" s="9"/>
      <c r="E84" s="9"/>
      <c r="F84" s="9"/>
      <c r="G84" s="11"/>
      <c r="H84" s="9"/>
      <c r="I84" s="22"/>
      <c r="J84" s="24"/>
      <c r="K8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84" s="22"/>
    </row>
    <row r="85" spans="1:12" x14ac:dyDescent="0.25">
      <c r="A85" s="8"/>
      <c r="B85" s="1" t="str">
        <f>IF(Tabela2[[#This Row],[Data]]="","",PROPER(TEXT(Tabela2[[#This Row],[Data]],"mmm")))</f>
        <v/>
      </c>
      <c r="C85" s="1" t="str">
        <f>IF(Tabela2[[#This Row],[Data]]="","",PROPER(TEXT(Tabela2[[#This Row],[Data]],"ddd")))</f>
        <v/>
      </c>
      <c r="D85" s="9"/>
      <c r="E85" s="9"/>
      <c r="F85" s="9"/>
      <c r="G85" s="11"/>
      <c r="H85" s="9"/>
      <c r="I85" s="22"/>
      <c r="J85" s="24"/>
      <c r="K8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85" s="22"/>
    </row>
    <row r="86" spans="1:12" x14ac:dyDescent="0.25">
      <c r="A86" s="8"/>
      <c r="B86" s="1" t="str">
        <f>IF(Tabela2[[#This Row],[Data]]="","",PROPER(TEXT(Tabela2[[#This Row],[Data]],"mmm")))</f>
        <v/>
      </c>
      <c r="C86" s="1" t="str">
        <f>IF(Tabela2[[#This Row],[Data]]="","",PROPER(TEXT(Tabela2[[#This Row],[Data]],"ddd")))</f>
        <v/>
      </c>
      <c r="D86" s="9"/>
      <c r="E86" s="9"/>
      <c r="F86" s="9"/>
      <c r="G86" s="11"/>
      <c r="H86" s="9"/>
      <c r="I86" s="22"/>
      <c r="J86" s="24"/>
      <c r="K8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86" s="22"/>
    </row>
    <row r="87" spans="1:12" x14ac:dyDescent="0.25">
      <c r="A87" s="8"/>
      <c r="B87" s="1" t="str">
        <f>IF(Tabela2[[#This Row],[Data]]="","",PROPER(TEXT(Tabela2[[#This Row],[Data]],"mmm")))</f>
        <v/>
      </c>
      <c r="C87" s="1" t="str">
        <f>IF(Tabela2[[#This Row],[Data]]="","",PROPER(TEXT(Tabela2[[#This Row],[Data]],"ddd")))</f>
        <v/>
      </c>
      <c r="D87" s="9"/>
      <c r="E87" s="9"/>
      <c r="F87" s="9"/>
      <c r="G87" s="11"/>
      <c r="H87" s="9"/>
      <c r="I87" s="22"/>
      <c r="J87" s="24"/>
      <c r="K8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87" s="22"/>
    </row>
    <row r="88" spans="1:12" x14ac:dyDescent="0.25">
      <c r="A88" s="8"/>
      <c r="B88" s="1" t="str">
        <f>IF(Tabela2[[#This Row],[Data]]="","",PROPER(TEXT(Tabela2[[#This Row],[Data]],"mmm")))</f>
        <v/>
      </c>
      <c r="C88" s="1" t="str">
        <f>IF(Tabela2[[#This Row],[Data]]="","",PROPER(TEXT(Tabela2[[#This Row],[Data]],"ddd")))</f>
        <v/>
      </c>
      <c r="D88" s="9"/>
      <c r="E88" s="9"/>
      <c r="F88" s="9"/>
      <c r="G88" s="10"/>
      <c r="H88" s="9"/>
      <c r="I88" s="22"/>
      <c r="J88" s="24"/>
      <c r="K8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88" s="22"/>
    </row>
    <row r="89" spans="1:12" x14ac:dyDescent="0.25">
      <c r="A89" s="8"/>
      <c r="B89" s="1" t="str">
        <f>IF(Tabela2[[#This Row],[Data]]="","",PROPER(TEXT(Tabela2[[#This Row],[Data]],"mmm")))</f>
        <v/>
      </c>
      <c r="C89" s="1" t="str">
        <f>IF(Tabela2[[#This Row],[Data]]="","",PROPER(TEXT(Tabela2[[#This Row],[Data]],"ddd")))</f>
        <v/>
      </c>
      <c r="D89" s="9"/>
      <c r="E89" s="9"/>
      <c r="F89" s="9"/>
      <c r="G89" s="11"/>
      <c r="H89" s="9"/>
      <c r="I89" s="22"/>
      <c r="J89" s="24"/>
      <c r="K8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89" s="22"/>
    </row>
    <row r="90" spans="1:12" x14ac:dyDescent="0.25">
      <c r="A90" s="8"/>
      <c r="B90" s="1" t="str">
        <f>IF(Tabela2[[#This Row],[Data]]="","",PROPER(TEXT(Tabela2[[#This Row],[Data]],"mmm")))</f>
        <v/>
      </c>
      <c r="C90" s="1" t="str">
        <f>IF(Tabela2[[#This Row],[Data]]="","",PROPER(TEXT(Tabela2[[#This Row],[Data]],"ddd")))</f>
        <v/>
      </c>
      <c r="D90" s="9"/>
      <c r="E90" s="9"/>
      <c r="F90" s="9"/>
      <c r="G90" s="11"/>
      <c r="H90" s="9"/>
      <c r="I90" s="22"/>
      <c r="J90" s="24"/>
      <c r="K9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90" s="22"/>
    </row>
    <row r="91" spans="1:12" x14ac:dyDescent="0.25">
      <c r="A91" s="8"/>
      <c r="B91" s="1" t="str">
        <f>IF(Tabela2[[#This Row],[Data]]="","",PROPER(TEXT(Tabela2[[#This Row],[Data]],"mmm")))</f>
        <v/>
      </c>
      <c r="C91" s="1" t="str">
        <f>IF(Tabela2[[#This Row],[Data]]="","",PROPER(TEXT(Tabela2[[#This Row],[Data]],"ddd")))</f>
        <v/>
      </c>
      <c r="D91" s="9"/>
      <c r="E91" s="9"/>
      <c r="F91" s="9"/>
      <c r="G91" s="11"/>
      <c r="H91" s="9"/>
      <c r="I91" s="22"/>
      <c r="J91" s="24"/>
      <c r="K9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91" s="22"/>
    </row>
    <row r="92" spans="1:12" x14ac:dyDescent="0.25">
      <c r="A92" s="8"/>
      <c r="B92" s="1" t="str">
        <f>IF(Tabela2[[#This Row],[Data]]="","",PROPER(TEXT(Tabela2[[#This Row],[Data]],"mmm")))</f>
        <v/>
      </c>
      <c r="C92" s="1" t="str">
        <f>IF(Tabela2[[#This Row],[Data]]="","",PROPER(TEXT(Tabela2[[#This Row],[Data]],"ddd")))</f>
        <v/>
      </c>
      <c r="D92" s="9"/>
      <c r="E92" s="9"/>
      <c r="F92" s="9"/>
      <c r="G92" s="11"/>
      <c r="H92" s="9"/>
      <c r="I92" s="22"/>
      <c r="J92" s="24"/>
      <c r="K9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92" s="22"/>
    </row>
    <row r="93" spans="1:12" x14ac:dyDescent="0.25">
      <c r="A93" s="8"/>
      <c r="B93" s="1" t="str">
        <f>IF(Tabela2[[#This Row],[Data]]="","",PROPER(TEXT(Tabela2[[#This Row],[Data]],"mmm")))</f>
        <v/>
      </c>
      <c r="C93" s="1" t="str">
        <f>IF(Tabela2[[#This Row],[Data]]="","",PROPER(TEXT(Tabela2[[#This Row],[Data]],"ddd")))</f>
        <v/>
      </c>
      <c r="D93" s="9"/>
      <c r="E93" s="9"/>
      <c r="F93" s="9"/>
      <c r="G93" s="11"/>
      <c r="H93" s="9"/>
      <c r="I93" s="22"/>
      <c r="J93" s="24"/>
      <c r="K9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93" s="22"/>
    </row>
    <row r="94" spans="1:12" x14ac:dyDescent="0.25">
      <c r="A94" s="8"/>
      <c r="B94" s="1" t="str">
        <f>IF(Tabela2[[#This Row],[Data]]="","",PROPER(TEXT(Tabela2[[#This Row],[Data]],"mmm")))</f>
        <v/>
      </c>
      <c r="C94" s="1" t="str">
        <f>IF(Tabela2[[#This Row],[Data]]="","",PROPER(TEXT(Tabela2[[#This Row],[Data]],"ddd")))</f>
        <v/>
      </c>
      <c r="D94" s="9"/>
      <c r="E94" s="9"/>
      <c r="F94" s="9"/>
      <c r="G94" s="10"/>
      <c r="H94" s="9"/>
      <c r="I94" s="22"/>
      <c r="J94" s="24"/>
      <c r="K9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94" s="22"/>
    </row>
    <row r="95" spans="1:12" x14ac:dyDescent="0.25">
      <c r="A95" s="8"/>
      <c r="B95" s="1" t="str">
        <f>IF(Tabela2[[#This Row],[Data]]="","",PROPER(TEXT(Tabela2[[#This Row],[Data]],"mmm")))</f>
        <v/>
      </c>
      <c r="C95" s="1" t="str">
        <f>IF(Tabela2[[#This Row],[Data]]="","",PROPER(TEXT(Tabela2[[#This Row],[Data]],"ddd")))</f>
        <v/>
      </c>
      <c r="D95" s="9"/>
      <c r="E95" s="9"/>
      <c r="F95" s="9"/>
      <c r="G95" s="11"/>
      <c r="H95" s="9"/>
      <c r="I95" s="22"/>
      <c r="J95" s="24"/>
      <c r="K9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95" s="22"/>
    </row>
    <row r="96" spans="1:12" x14ac:dyDescent="0.25">
      <c r="A96" s="8"/>
      <c r="B96" s="1" t="str">
        <f>IF(Tabela2[[#This Row],[Data]]="","",PROPER(TEXT(Tabela2[[#This Row],[Data]],"mmm")))</f>
        <v/>
      </c>
      <c r="C96" s="1" t="str">
        <f>IF(Tabela2[[#This Row],[Data]]="","",PROPER(TEXT(Tabela2[[#This Row],[Data]],"ddd")))</f>
        <v/>
      </c>
      <c r="D96" s="9"/>
      <c r="E96" s="9"/>
      <c r="F96" s="9"/>
      <c r="G96" s="11"/>
      <c r="H96" s="9"/>
      <c r="I96" s="22"/>
      <c r="J96" s="24"/>
      <c r="K9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96" s="22"/>
    </row>
    <row r="97" spans="1:12" x14ac:dyDescent="0.25">
      <c r="A97" s="8"/>
      <c r="B97" s="1" t="str">
        <f>IF(Tabela2[[#This Row],[Data]]="","",PROPER(TEXT(Tabela2[[#This Row],[Data]],"mmm")))</f>
        <v/>
      </c>
      <c r="C97" s="1" t="str">
        <f>IF(Tabela2[[#This Row],[Data]]="","",PROPER(TEXT(Tabela2[[#This Row],[Data]],"ddd")))</f>
        <v/>
      </c>
      <c r="D97" s="9"/>
      <c r="E97" s="9"/>
      <c r="F97" s="9"/>
      <c r="G97" s="11"/>
      <c r="H97" s="9"/>
      <c r="I97" s="22"/>
      <c r="J97" s="24"/>
      <c r="K9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97" s="22"/>
    </row>
    <row r="98" spans="1:12" x14ac:dyDescent="0.25">
      <c r="A98" s="8"/>
      <c r="B98" s="1" t="str">
        <f>IF(Tabela2[[#This Row],[Data]]="","",PROPER(TEXT(Tabela2[[#This Row],[Data]],"mmm")))</f>
        <v/>
      </c>
      <c r="C98" s="1" t="str">
        <f>IF(Tabela2[[#This Row],[Data]]="","",PROPER(TEXT(Tabela2[[#This Row],[Data]],"ddd")))</f>
        <v/>
      </c>
      <c r="D98" s="9"/>
      <c r="E98" s="9"/>
      <c r="F98" s="9"/>
      <c r="G98" s="11"/>
      <c r="H98" s="9"/>
      <c r="I98" s="22"/>
      <c r="J98" s="24"/>
      <c r="K9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98" s="22"/>
    </row>
    <row r="99" spans="1:12" x14ac:dyDescent="0.25">
      <c r="A99" s="8"/>
      <c r="B99" s="1" t="str">
        <f>IF(Tabela2[[#This Row],[Data]]="","",PROPER(TEXT(Tabela2[[#This Row],[Data]],"mmm")))</f>
        <v/>
      </c>
      <c r="C99" s="1" t="str">
        <f>IF(Tabela2[[#This Row],[Data]]="","",PROPER(TEXT(Tabela2[[#This Row],[Data]],"ddd")))</f>
        <v/>
      </c>
      <c r="D99" s="9"/>
      <c r="E99" s="9"/>
      <c r="F99" s="9"/>
      <c r="G99" s="11"/>
      <c r="H99" s="9"/>
      <c r="I99" s="22"/>
      <c r="J99" s="24"/>
      <c r="K9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99" s="22"/>
    </row>
    <row r="100" spans="1:12" x14ac:dyDescent="0.25">
      <c r="A100" s="8"/>
      <c r="B100" s="1" t="str">
        <f>IF(Tabela2[[#This Row],[Data]]="","",PROPER(TEXT(Tabela2[[#This Row],[Data]],"mmm")))</f>
        <v/>
      </c>
      <c r="C100" s="1" t="str">
        <f>IF(Tabela2[[#This Row],[Data]]="","",PROPER(TEXT(Tabela2[[#This Row],[Data]],"ddd")))</f>
        <v/>
      </c>
      <c r="D100" s="9"/>
      <c r="E100" s="9"/>
      <c r="F100" s="9"/>
      <c r="G100" s="10"/>
      <c r="H100" s="9"/>
      <c r="I100" s="22"/>
      <c r="J100" s="24"/>
      <c r="K10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00" s="22"/>
    </row>
    <row r="101" spans="1:12" x14ac:dyDescent="0.25">
      <c r="A101" s="8"/>
      <c r="B101" s="1" t="str">
        <f>IF(Tabela2[[#This Row],[Data]]="","",PROPER(TEXT(Tabela2[[#This Row],[Data]],"mmm")))</f>
        <v/>
      </c>
      <c r="C101" s="1" t="str">
        <f>IF(Tabela2[[#This Row],[Data]]="","",PROPER(TEXT(Tabela2[[#This Row],[Data]],"ddd")))</f>
        <v/>
      </c>
      <c r="D101" s="9"/>
      <c r="E101" s="9"/>
      <c r="F101" s="9"/>
      <c r="G101" s="11"/>
      <c r="H101" s="9"/>
      <c r="I101" s="22"/>
      <c r="J101" s="24"/>
      <c r="K10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01" s="22"/>
    </row>
    <row r="102" spans="1:12" x14ac:dyDescent="0.25">
      <c r="A102" s="8"/>
      <c r="B102" s="1" t="str">
        <f>IF(Tabela2[[#This Row],[Data]]="","",PROPER(TEXT(Tabela2[[#This Row],[Data]],"mmm")))</f>
        <v/>
      </c>
      <c r="C102" s="1" t="str">
        <f>IF(Tabela2[[#This Row],[Data]]="","",PROPER(TEXT(Tabela2[[#This Row],[Data]],"ddd")))</f>
        <v/>
      </c>
      <c r="D102" s="9"/>
      <c r="E102" s="9"/>
      <c r="F102" s="9"/>
      <c r="G102" s="11"/>
      <c r="H102" s="9"/>
      <c r="I102" s="22"/>
      <c r="J102" s="24"/>
      <c r="K10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02" s="22"/>
    </row>
    <row r="103" spans="1:12" x14ac:dyDescent="0.25">
      <c r="A103" s="8"/>
      <c r="B103" s="1" t="str">
        <f>IF(Tabela2[[#This Row],[Data]]="","",PROPER(TEXT(Tabela2[[#This Row],[Data]],"mmm")))</f>
        <v/>
      </c>
      <c r="C103" s="1" t="str">
        <f>IF(Tabela2[[#This Row],[Data]]="","",PROPER(TEXT(Tabela2[[#This Row],[Data]],"ddd")))</f>
        <v/>
      </c>
      <c r="D103" s="9"/>
      <c r="E103" s="9"/>
      <c r="F103" s="9"/>
      <c r="G103" s="11"/>
      <c r="H103" s="9"/>
      <c r="I103" s="22"/>
      <c r="J103" s="24"/>
      <c r="K10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03" s="22"/>
    </row>
    <row r="104" spans="1:12" x14ac:dyDescent="0.25">
      <c r="A104" s="8"/>
      <c r="B104" s="1" t="str">
        <f>IF(Tabela2[[#This Row],[Data]]="","",PROPER(TEXT(Tabela2[[#This Row],[Data]],"mmm")))</f>
        <v/>
      </c>
      <c r="C104" s="1" t="str">
        <f>IF(Tabela2[[#This Row],[Data]]="","",PROPER(TEXT(Tabela2[[#This Row],[Data]],"ddd")))</f>
        <v/>
      </c>
      <c r="D104" s="9"/>
      <c r="E104" s="9"/>
      <c r="F104" s="9"/>
      <c r="G104" s="11"/>
      <c r="H104" s="9"/>
      <c r="I104" s="22"/>
      <c r="J104" s="24"/>
      <c r="K10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04" s="22"/>
    </row>
    <row r="105" spans="1:12" x14ac:dyDescent="0.25">
      <c r="A105" s="8"/>
      <c r="B105" s="1" t="str">
        <f>IF(Tabela2[[#This Row],[Data]]="","",PROPER(TEXT(Tabela2[[#This Row],[Data]],"mmm")))</f>
        <v/>
      </c>
      <c r="C105" s="1" t="str">
        <f>IF(Tabela2[[#This Row],[Data]]="","",PROPER(TEXT(Tabela2[[#This Row],[Data]],"ddd")))</f>
        <v/>
      </c>
      <c r="D105" s="9"/>
      <c r="E105" s="9"/>
      <c r="F105" s="9"/>
      <c r="G105" s="11"/>
      <c r="H105" s="9"/>
      <c r="I105" s="22"/>
      <c r="J105" s="24"/>
      <c r="K10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05" s="22"/>
    </row>
    <row r="106" spans="1:12" x14ac:dyDescent="0.25">
      <c r="A106" s="8"/>
      <c r="B106" s="1" t="str">
        <f>IF(Tabela2[[#This Row],[Data]]="","",PROPER(TEXT(Tabela2[[#This Row],[Data]],"mmm")))</f>
        <v/>
      </c>
      <c r="C106" s="1" t="str">
        <f>IF(Tabela2[[#This Row],[Data]]="","",PROPER(TEXT(Tabela2[[#This Row],[Data]],"ddd")))</f>
        <v/>
      </c>
      <c r="D106" s="9"/>
      <c r="E106" s="9"/>
      <c r="F106" s="9"/>
      <c r="G106" s="10"/>
      <c r="H106" s="9"/>
      <c r="I106" s="22"/>
      <c r="J106" s="24"/>
      <c r="K10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06" s="22"/>
    </row>
    <row r="107" spans="1:12" x14ac:dyDescent="0.25">
      <c r="A107" s="8"/>
      <c r="B107" s="1" t="str">
        <f>IF(Tabela2[[#This Row],[Data]]="","",PROPER(TEXT(Tabela2[[#This Row],[Data]],"mmm")))</f>
        <v/>
      </c>
      <c r="C107" s="1" t="str">
        <f>IF(Tabela2[[#This Row],[Data]]="","",PROPER(TEXT(Tabela2[[#This Row],[Data]],"ddd")))</f>
        <v/>
      </c>
      <c r="D107" s="9"/>
      <c r="E107" s="9"/>
      <c r="F107" s="9"/>
      <c r="G107" s="11"/>
      <c r="H107" s="9"/>
      <c r="I107" s="22"/>
      <c r="J107" s="24"/>
      <c r="K10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07" s="22"/>
    </row>
    <row r="108" spans="1:12" x14ac:dyDescent="0.25">
      <c r="A108" s="8"/>
      <c r="B108" s="1" t="str">
        <f>IF(Tabela2[[#This Row],[Data]]="","",PROPER(TEXT(Tabela2[[#This Row],[Data]],"mmm")))</f>
        <v/>
      </c>
      <c r="C108" s="1" t="str">
        <f>IF(Tabela2[[#This Row],[Data]]="","",PROPER(TEXT(Tabela2[[#This Row],[Data]],"ddd")))</f>
        <v/>
      </c>
      <c r="D108" s="9"/>
      <c r="E108" s="9"/>
      <c r="F108" s="9"/>
      <c r="G108" s="11"/>
      <c r="H108" s="9"/>
      <c r="I108" s="22"/>
      <c r="J108" s="24"/>
      <c r="K10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08" s="22"/>
    </row>
    <row r="109" spans="1:12" x14ac:dyDescent="0.25">
      <c r="A109" s="8"/>
      <c r="B109" s="1" t="str">
        <f>IF(Tabela2[[#This Row],[Data]]="","",PROPER(TEXT(Tabela2[[#This Row],[Data]],"mmm")))</f>
        <v/>
      </c>
      <c r="C109" s="1" t="str">
        <f>IF(Tabela2[[#This Row],[Data]]="","",PROPER(TEXT(Tabela2[[#This Row],[Data]],"ddd")))</f>
        <v/>
      </c>
      <c r="D109" s="9"/>
      <c r="E109" s="9"/>
      <c r="F109" s="9"/>
      <c r="G109" s="11"/>
      <c r="H109" s="9"/>
      <c r="I109" s="22"/>
      <c r="J109" s="24"/>
      <c r="K10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09" s="22"/>
    </row>
    <row r="110" spans="1:12" x14ac:dyDescent="0.25">
      <c r="A110" s="8"/>
      <c r="B110" s="1" t="str">
        <f>IF(Tabela2[[#This Row],[Data]]="","",PROPER(TEXT(Tabela2[[#This Row],[Data]],"mmm")))</f>
        <v/>
      </c>
      <c r="C110" s="1" t="str">
        <f>IF(Tabela2[[#This Row],[Data]]="","",PROPER(TEXT(Tabela2[[#This Row],[Data]],"ddd")))</f>
        <v/>
      </c>
      <c r="D110" s="9"/>
      <c r="E110" s="9"/>
      <c r="F110" s="9"/>
      <c r="G110" s="11"/>
      <c r="H110" s="9"/>
      <c r="I110" s="22"/>
      <c r="J110" s="24"/>
      <c r="K11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10" s="22"/>
    </row>
    <row r="111" spans="1:12" x14ac:dyDescent="0.25">
      <c r="A111" s="8"/>
      <c r="B111" s="1" t="str">
        <f>IF(Tabela2[[#This Row],[Data]]="","",PROPER(TEXT(Tabela2[[#This Row],[Data]],"mmm")))</f>
        <v/>
      </c>
      <c r="C111" s="1" t="str">
        <f>IF(Tabela2[[#This Row],[Data]]="","",PROPER(TEXT(Tabela2[[#This Row],[Data]],"ddd")))</f>
        <v/>
      </c>
      <c r="D111" s="9"/>
      <c r="E111" s="9"/>
      <c r="F111" s="9"/>
      <c r="G111" s="11"/>
      <c r="H111" s="9"/>
      <c r="I111" s="22"/>
      <c r="J111" s="24"/>
      <c r="K11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11" s="22"/>
    </row>
    <row r="112" spans="1:12" x14ac:dyDescent="0.25">
      <c r="A112" s="8"/>
      <c r="B112" s="1" t="str">
        <f>IF(Tabela2[[#This Row],[Data]]="","",PROPER(TEXT(Tabela2[[#This Row],[Data]],"mmm")))</f>
        <v/>
      </c>
      <c r="C112" s="1" t="str">
        <f>IF(Tabela2[[#This Row],[Data]]="","",PROPER(TEXT(Tabela2[[#This Row],[Data]],"ddd")))</f>
        <v/>
      </c>
      <c r="D112" s="9"/>
      <c r="E112" s="9"/>
      <c r="F112" s="9"/>
      <c r="G112" s="10"/>
      <c r="H112" s="9"/>
      <c r="I112" s="22"/>
      <c r="J112" s="24"/>
      <c r="K11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12" s="22"/>
    </row>
    <row r="113" spans="1:12" x14ac:dyDescent="0.25">
      <c r="A113" s="8"/>
      <c r="B113" s="1" t="str">
        <f>IF(Tabela2[[#This Row],[Data]]="","",PROPER(TEXT(Tabela2[[#This Row],[Data]],"mmm")))</f>
        <v/>
      </c>
      <c r="C113" s="1" t="str">
        <f>IF(Tabela2[[#This Row],[Data]]="","",PROPER(TEXT(Tabela2[[#This Row],[Data]],"ddd")))</f>
        <v/>
      </c>
      <c r="D113" s="9"/>
      <c r="E113" s="9"/>
      <c r="F113" s="9"/>
      <c r="G113" s="11"/>
      <c r="H113" s="9"/>
      <c r="I113" s="22"/>
      <c r="J113" s="24"/>
      <c r="K11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13" s="22"/>
    </row>
    <row r="114" spans="1:12" x14ac:dyDescent="0.25">
      <c r="A114" s="8"/>
      <c r="B114" s="1" t="str">
        <f>IF(Tabela2[[#This Row],[Data]]="","",PROPER(TEXT(Tabela2[[#This Row],[Data]],"mmm")))</f>
        <v/>
      </c>
      <c r="C114" s="1" t="str">
        <f>IF(Tabela2[[#This Row],[Data]]="","",PROPER(TEXT(Tabela2[[#This Row],[Data]],"ddd")))</f>
        <v/>
      </c>
      <c r="D114" s="9"/>
      <c r="E114" s="9"/>
      <c r="F114" s="9"/>
      <c r="G114" s="11"/>
      <c r="H114" s="9"/>
      <c r="I114" s="22"/>
      <c r="J114" s="24"/>
      <c r="K11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14" s="22"/>
    </row>
    <row r="115" spans="1:12" x14ac:dyDescent="0.25">
      <c r="A115" s="8"/>
      <c r="B115" s="1" t="str">
        <f>IF(Tabela2[[#This Row],[Data]]="","",PROPER(TEXT(Tabela2[[#This Row],[Data]],"mmm")))</f>
        <v/>
      </c>
      <c r="C115" s="1" t="str">
        <f>IF(Tabela2[[#This Row],[Data]]="","",PROPER(TEXT(Tabela2[[#This Row],[Data]],"ddd")))</f>
        <v/>
      </c>
      <c r="D115" s="9"/>
      <c r="E115" s="9"/>
      <c r="F115" s="9"/>
      <c r="G115" s="11"/>
      <c r="H115" s="9"/>
      <c r="I115" s="22"/>
      <c r="J115" s="24"/>
      <c r="K11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15" s="22"/>
    </row>
    <row r="116" spans="1:12" x14ac:dyDescent="0.25">
      <c r="A116" s="8"/>
      <c r="B116" s="1" t="str">
        <f>IF(Tabela2[[#This Row],[Data]]="","",PROPER(TEXT(Tabela2[[#This Row],[Data]],"mmm")))</f>
        <v/>
      </c>
      <c r="C116" s="1" t="str">
        <f>IF(Tabela2[[#This Row],[Data]]="","",PROPER(TEXT(Tabela2[[#This Row],[Data]],"ddd")))</f>
        <v/>
      </c>
      <c r="D116" s="9"/>
      <c r="E116" s="9"/>
      <c r="F116" s="9"/>
      <c r="G116" s="11"/>
      <c r="H116" s="9"/>
      <c r="I116" s="22"/>
      <c r="J116" s="24"/>
      <c r="K11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16" s="22"/>
    </row>
    <row r="117" spans="1:12" x14ac:dyDescent="0.25">
      <c r="A117" s="8"/>
      <c r="B117" s="1" t="str">
        <f>IF(Tabela2[[#This Row],[Data]]="","",PROPER(TEXT(Tabela2[[#This Row],[Data]],"mmm")))</f>
        <v/>
      </c>
      <c r="C117" s="1" t="str">
        <f>IF(Tabela2[[#This Row],[Data]]="","",PROPER(TEXT(Tabela2[[#This Row],[Data]],"ddd")))</f>
        <v/>
      </c>
      <c r="D117" s="9"/>
      <c r="E117" s="9"/>
      <c r="F117" s="9"/>
      <c r="G117" s="11"/>
      <c r="H117" s="9"/>
      <c r="I117" s="22"/>
      <c r="J117" s="24"/>
      <c r="K11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17" s="22"/>
    </row>
    <row r="118" spans="1:12" x14ac:dyDescent="0.25">
      <c r="A118" s="8"/>
      <c r="B118" s="1" t="str">
        <f>IF(Tabela2[[#This Row],[Data]]="","",PROPER(TEXT(Tabela2[[#This Row],[Data]],"mmm")))</f>
        <v/>
      </c>
      <c r="C118" s="1" t="str">
        <f>IF(Tabela2[[#This Row],[Data]]="","",PROPER(TEXT(Tabela2[[#This Row],[Data]],"ddd")))</f>
        <v/>
      </c>
      <c r="D118" s="9"/>
      <c r="E118" s="9"/>
      <c r="F118" s="9"/>
      <c r="G118" s="10"/>
      <c r="H118" s="9"/>
      <c r="I118" s="22"/>
      <c r="J118" s="24"/>
      <c r="K11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18" s="22"/>
    </row>
    <row r="119" spans="1:12" x14ac:dyDescent="0.25">
      <c r="A119" s="8"/>
      <c r="B119" s="1" t="str">
        <f>IF(Tabela2[[#This Row],[Data]]="","",PROPER(TEXT(Tabela2[[#This Row],[Data]],"mmm")))</f>
        <v/>
      </c>
      <c r="C119" s="1" t="str">
        <f>IF(Tabela2[[#This Row],[Data]]="","",PROPER(TEXT(Tabela2[[#This Row],[Data]],"ddd")))</f>
        <v/>
      </c>
      <c r="D119" s="9"/>
      <c r="E119" s="9"/>
      <c r="F119" s="9"/>
      <c r="G119" s="11"/>
      <c r="H119" s="9"/>
      <c r="I119" s="22"/>
      <c r="J119" s="24"/>
      <c r="K11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19" s="22"/>
    </row>
    <row r="120" spans="1:12" x14ac:dyDescent="0.25">
      <c r="A120" s="8"/>
      <c r="B120" s="1" t="str">
        <f>IF(Tabela2[[#This Row],[Data]]="","",PROPER(TEXT(Tabela2[[#This Row],[Data]],"mmm")))</f>
        <v/>
      </c>
      <c r="C120" s="1" t="str">
        <f>IF(Tabela2[[#This Row],[Data]]="","",PROPER(TEXT(Tabela2[[#This Row],[Data]],"ddd")))</f>
        <v/>
      </c>
      <c r="D120" s="9"/>
      <c r="E120" s="9"/>
      <c r="F120" s="9"/>
      <c r="G120" s="11"/>
      <c r="H120" s="9"/>
      <c r="I120" s="22"/>
      <c r="J120" s="24"/>
      <c r="K12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20" s="22"/>
    </row>
    <row r="121" spans="1:12" x14ac:dyDescent="0.25">
      <c r="A121" s="8"/>
      <c r="B121" s="1" t="str">
        <f>IF(Tabela2[[#This Row],[Data]]="","",PROPER(TEXT(Tabela2[[#This Row],[Data]],"mmm")))</f>
        <v/>
      </c>
      <c r="C121" s="1" t="str">
        <f>IF(Tabela2[[#This Row],[Data]]="","",PROPER(TEXT(Tabela2[[#This Row],[Data]],"ddd")))</f>
        <v/>
      </c>
      <c r="D121" s="9"/>
      <c r="E121" s="9"/>
      <c r="F121" s="9"/>
      <c r="G121" s="11"/>
      <c r="H121" s="9"/>
      <c r="I121" s="22"/>
      <c r="J121" s="24"/>
      <c r="K12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21" s="22"/>
    </row>
    <row r="122" spans="1:12" x14ac:dyDescent="0.25">
      <c r="A122" s="8"/>
      <c r="B122" s="1" t="str">
        <f>IF(Tabela2[[#This Row],[Data]]="","",PROPER(TEXT(Tabela2[[#This Row],[Data]],"mmm")))</f>
        <v/>
      </c>
      <c r="C122" s="1" t="str">
        <f>IF(Tabela2[[#This Row],[Data]]="","",PROPER(TEXT(Tabela2[[#This Row],[Data]],"ddd")))</f>
        <v/>
      </c>
      <c r="D122" s="9"/>
      <c r="E122" s="9"/>
      <c r="F122" s="9"/>
      <c r="G122" s="11"/>
      <c r="H122" s="9"/>
      <c r="I122" s="22"/>
      <c r="J122" s="24"/>
      <c r="K12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22" s="22"/>
    </row>
    <row r="123" spans="1:12" x14ac:dyDescent="0.25">
      <c r="A123" s="8"/>
      <c r="B123" s="1" t="str">
        <f>IF(Tabela2[[#This Row],[Data]]="","",PROPER(TEXT(Tabela2[[#This Row],[Data]],"mmm")))</f>
        <v/>
      </c>
      <c r="C123" s="1" t="str">
        <f>IF(Tabela2[[#This Row],[Data]]="","",PROPER(TEXT(Tabela2[[#This Row],[Data]],"ddd")))</f>
        <v/>
      </c>
      <c r="D123" s="9"/>
      <c r="E123" s="9"/>
      <c r="F123" s="9"/>
      <c r="G123" s="11"/>
      <c r="H123" s="9"/>
      <c r="I123" s="22"/>
      <c r="J123" s="24"/>
      <c r="K12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23" s="22"/>
    </row>
    <row r="124" spans="1:12" x14ac:dyDescent="0.25">
      <c r="A124" s="8"/>
      <c r="B124" s="1" t="str">
        <f>IF(Tabela2[[#This Row],[Data]]="","",PROPER(TEXT(Tabela2[[#This Row],[Data]],"mmm")))</f>
        <v/>
      </c>
      <c r="C124" s="1" t="str">
        <f>IF(Tabela2[[#This Row],[Data]]="","",PROPER(TEXT(Tabela2[[#This Row],[Data]],"ddd")))</f>
        <v/>
      </c>
      <c r="D124" s="9"/>
      <c r="E124" s="9"/>
      <c r="F124" s="9"/>
      <c r="G124" s="10"/>
      <c r="H124" s="9"/>
      <c r="I124" s="22"/>
      <c r="J124" s="24"/>
      <c r="K12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24" s="22"/>
    </row>
    <row r="125" spans="1:12" x14ac:dyDescent="0.25">
      <c r="A125" s="8"/>
      <c r="B125" s="1" t="str">
        <f>IF(Tabela2[[#This Row],[Data]]="","",PROPER(TEXT(Tabela2[[#This Row],[Data]],"mmm")))</f>
        <v/>
      </c>
      <c r="C125" s="1" t="str">
        <f>IF(Tabela2[[#This Row],[Data]]="","",PROPER(TEXT(Tabela2[[#This Row],[Data]],"ddd")))</f>
        <v/>
      </c>
      <c r="D125" s="9"/>
      <c r="E125" s="9"/>
      <c r="F125" s="9"/>
      <c r="G125" s="11"/>
      <c r="H125" s="9"/>
      <c r="I125" s="22"/>
      <c r="J125" s="24"/>
      <c r="K12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25" s="22"/>
    </row>
    <row r="126" spans="1:12" x14ac:dyDescent="0.25">
      <c r="A126" s="8"/>
      <c r="B126" s="1" t="str">
        <f>IF(Tabela2[[#This Row],[Data]]="","",PROPER(TEXT(Tabela2[[#This Row],[Data]],"mmm")))</f>
        <v/>
      </c>
      <c r="C126" s="1" t="str">
        <f>IF(Tabela2[[#This Row],[Data]]="","",PROPER(TEXT(Tabela2[[#This Row],[Data]],"ddd")))</f>
        <v/>
      </c>
      <c r="D126" s="9"/>
      <c r="E126" s="9"/>
      <c r="F126" s="9"/>
      <c r="G126" s="11"/>
      <c r="H126" s="9"/>
      <c r="I126" s="22"/>
      <c r="J126" s="24"/>
      <c r="K12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26" s="22"/>
    </row>
    <row r="127" spans="1:12" x14ac:dyDescent="0.25">
      <c r="A127" s="8"/>
      <c r="B127" s="1" t="str">
        <f>IF(Tabela2[[#This Row],[Data]]="","",PROPER(TEXT(Tabela2[[#This Row],[Data]],"mmm")))</f>
        <v/>
      </c>
      <c r="C127" s="1" t="str">
        <f>IF(Tabela2[[#This Row],[Data]]="","",PROPER(TEXT(Tabela2[[#This Row],[Data]],"ddd")))</f>
        <v/>
      </c>
      <c r="D127" s="9"/>
      <c r="E127" s="9"/>
      <c r="F127" s="9"/>
      <c r="G127" s="11"/>
      <c r="H127" s="9"/>
      <c r="I127" s="22"/>
      <c r="J127" s="24"/>
      <c r="K12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27" s="22"/>
    </row>
    <row r="128" spans="1:12" x14ac:dyDescent="0.25">
      <c r="A128" s="8"/>
      <c r="B128" s="1" t="str">
        <f>IF(Tabela2[[#This Row],[Data]]="","",PROPER(TEXT(Tabela2[[#This Row],[Data]],"mmm")))</f>
        <v/>
      </c>
      <c r="C128" s="1" t="str">
        <f>IF(Tabela2[[#This Row],[Data]]="","",PROPER(TEXT(Tabela2[[#This Row],[Data]],"ddd")))</f>
        <v/>
      </c>
      <c r="D128" s="9"/>
      <c r="E128" s="9"/>
      <c r="F128" s="9"/>
      <c r="G128" s="11"/>
      <c r="H128" s="9"/>
      <c r="I128" s="22"/>
      <c r="J128" s="24"/>
      <c r="K12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28" s="22"/>
    </row>
    <row r="129" spans="1:12" x14ac:dyDescent="0.25">
      <c r="A129" s="8"/>
      <c r="B129" s="1" t="str">
        <f>IF(Tabela2[[#This Row],[Data]]="","",PROPER(TEXT(Tabela2[[#This Row],[Data]],"mmm")))</f>
        <v/>
      </c>
      <c r="C129" s="1" t="str">
        <f>IF(Tabela2[[#This Row],[Data]]="","",PROPER(TEXT(Tabela2[[#This Row],[Data]],"ddd")))</f>
        <v/>
      </c>
      <c r="D129" s="9"/>
      <c r="E129" s="9"/>
      <c r="F129" s="9"/>
      <c r="G129" s="11"/>
      <c r="H129" s="9"/>
      <c r="I129" s="22"/>
      <c r="J129" s="24"/>
      <c r="K12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29" s="22"/>
    </row>
    <row r="130" spans="1:12" x14ac:dyDescent="0.25">
      <c r="A130" s="8"/>
      <c r="B130" s="1" t="str">
        <f>IF(Tabela2[[#This Row],[Data]]="","",PROPER(TEXT(Tabela2[[#This Row],[Data]],"mmm")))</f>
        <v/>
      </c>
      <c r="C130" s="1" t="str">
        <f>IF(Tabela2[[#This Row],[Data]]="","",PROPER(TEXT(Tabela2[[#This Row],[Data]],"ddd")))</f>
        <v/>
      </c>
      <c r="D130" s="9"/>
      <c r="E130" s="9"/>
      <c r="F130" s="9"/>
      <c r="G130" s="10"/>
      <c r="H130" s="9"/>
      <c r="I130" s="22"/>
      <c r="J130" s="24"/>
      <c r="K13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30" s="22"/>
    </row>
    <row r="131" spans="1:12" x14ac:dyDescent="0.25">
      <c r="A131" s="8"/>
      <c r="B131" s="1" t="str">
        <f>IF(Tabela2[[#This Row],[Data]]="","",PROPER(TEXT(Tabela2[[#This Row],[Data]],"mmm")))</f>
        <v/>
      </c>
      <c r="C131" s="1" t="str">
        <f>IF(Tabela2[[#This Row],[Data]]="","",PROPER(TEXT(Tabela2[[#This Row],[Data]],"ddd")))</f>
        <v/>
      </c>
      <c r="D131" s="9"/>
      <c r="E131" s="9"/>
      <c r="F131" s="9"/>
      <c r="G131" s="11"/>
      <c r="H131" s="9"/>
      <c r="I131" s="22"/>
      <c r="J131" s="24"/>
      <c r="K13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31" s="22"/>
    </row>
    <row r="132" spans="1:12" x14ac:dyDescent="0.25">
      <c r="A132" s="8"/>
      <c r="B132" s="1" t="str">
        <f>IF(Tabela2[[#This Row],[Data]]="","",PROPER(TEXT(Tabela2[[#This Row],[Data]],"mmm")))</f>
        <v/>
      </c>
      <c r="C132" s="1" t="str">
        <f>IF(Tabela2[[#This Row],[Data]]="","",PROPER(TEXT(Tabela2[[#This Row],[Data]],"ddd")))</f>
        <v/>
      </c>
      <c r="D132" s="9"/>
      <c r="E132" s="9"/>
      <c r="F132" s="9"/>
      <c r="G132" s="11"/>
      <c r="H132" s="9"/>
      <c r="I132" s="22"/>
      <c r="J132" s="24"/>
      <c r="K13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32" s="22"/>
    </row>
    <row r="133" spans="1:12" x14ac:dyDescent="0.25">
      <c r="A133" s="8"/>
      <c r="B133" s="1" t="str">
        <f>IF(Tabela2[[#This Row],[Data]]="","",PROPER(TEXT(Tabela2[[#This Row],[Data]],"mmm")))</f>
        <v/>
      </c>
      <c r="C133" s="1" t="str">
        <f>IF(Tabela2[[#This Row],[Data]]="","",PROPER(TEXT(Tabela2[[#This Row],[Data]],"ddd")))</f>
        <v/>
      </c>
      <c r="D133" s="9"/>
      <c r="E133" s="9"/>
      <c r="F133" s="9"/>
      <c r="G133" s="11"/>
      <c r="H133" s="9"/>
      <c r="I133" s="22"/>
      <c r="J133" s="24"/>
      <c r="K13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33" s="22"/>
    </row>
    <row r="134" spans="1:12" x14ac:dyDescent="0.25">
      <c r="A134" s="8"/>
      <c r="B134" s="1" t="str">
        <f>IF(Tabela2[[#This Row],[Data]]="","",PROPER(TEXT(Tabela2[[#This Row],[Data]],"mmm")))</f>
        <v/>
      </c>
      <c r="C134" s="1" t="str">
        <f>IF(Tabela2[[#This Row],[Data]]="","",PROPER(TEXT(Tabela2[[#This Row],[Data]],"ddd")))</f>
        <v/>
      </c>
      <c r="D134" s="9"/>
      <c r="E134" s="9"/>
      <c r="F134" s="9"/>
      <c r="G134" s="11"/>
      <c r="H134" s="9"/>
      <c r="I134" s="22"/>
      <c r="J134" s="24"/>
      <c r="K13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34" s="22"/>
    </row>
    <row r="135" spans="1:12" x14ac:dyDescent="0.25">
      <c r="A135" s="8"/>
      <c r="B135" s="1" t="str">
        <f>IF(Tabela2[[#This Row],[Data]]="","",PROPER(TEXT(Tabela2[[#This Row],[Data]],"mmm")))</f>
        <v/>
      </c>
      <c r="C135" s="1" t="str">
        <f>IF(Tabela2[[#This Row],[Data]]="","",PROPER(TEXT(Tabela2[[#This Row],[Data]],"ddd")))</f>
        <v/>
      </c>
      <c r="D135" s="9"/>
      <c r="E135" s="9"/>
      <c r="F135" s="9"/>
      <c r="G135" s="11"/>
      <c r="H135" s="9"/>
      <c r="I135" s="22"/>
      <c r="J135" s="24"/>
      <c r="K13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35" s="22"/>
    </row>
    <row r="136" spans="1:12" x14ac:dyDescent="0.25">
      <c r="A136" s="8"/>
      <c r="B136" s="1" t="str">
        <f>IF(Tabela2[[#This Row],[Data]]="","",PROPER(TEXT(Tabela2[[#This Row],[Data]],"mmm")))</f>
        <v/>
      </c>
      <c r="C136" s="1" t="str">
        <f>IF(Tabela2[[#This Row],[Data]]="","",PROPER(TEXT(Tabela2[[#This Row],[Data]],"ddd")))</f>
        <v/>
      </c>
      <c r="D136" s="9"/>
      <c r="E136" s="9"/>
      <c r="F136" s="9"/>
      <c r="G136" s="10"/>
      <c r="H136" s="9"/>
      <c r="I136" s="22"/>
      <c r="J136" s="24"/>
      <c r="K13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36" s="22"/>
    </row>
    <row r="137" spans="1:12" x14ac:dyDescent="0.25">
      <c r="A137" s="8"/>
      <c r="B137" s="1" t="str">
        <f>IF(Tabela2[[#This Row],[Data]]="","",PROPER(TEXT(Tabela2[[#This Row],[Data]],"mmm")))</f>
        <v/>
      </c>
      <c r="C137" s="1" t="str">
        <f>IF(Tabela2[[#This Row],[Data]]="","",PROPER(TEXT(Tabela2[[#This Row],[Data]],"ddd")))</f>
        <v/>
      </c>
      <c r="D137" s="9"/>
      <c r="E137" s="9"/>
      <c r="F137" s="9"/>
      <c r="G137" s="11"/>
      <c r="H137" s="9"/>
      <c r="I137" s="22"/>
      <c r="J137" s="24"/>
      <c r="K13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37" s="22"/>
    </row>
    <row r="138" spans="1:12" x14ac:dyDescent="0.25">
      <c r="A138" s="8"/>
      <c r="B138" s="1" t="str">
        <f>IF(Tabela2[[#This Row],[Data]]="","",PROPER(TEXT(Tabela2[[#This Row],[Data]],"mmm")))</f>
        <v/>
      </c>
      <c r="C138" s="1" t="str">
        <f>IF(Tabela2[[#This Row],[Data]]="","",PROPER(TEXT(Tabela2[[#This Row],[Data]],"ddd")))</f>
        <v/>
      </c>
      <c r="D138" s="9"/>
      <c r="E138" s="9"/>
      <c r="F138" s="9"/>
      <c r="G138" s="11"/>
      <c r="H138" s="9"/>
      <c r="I138" s="22"/>
      <c r="J138" s="24"/>
      <c r="K13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38" s="22"/>
    </row>
    <row r="139" spans="1:12" x14ac:dyDescent="0.25">
      <c r="A139" s="8"/>
      <c r="B139" s="1" t="str">
        <f>IF(Tabela2[[#This Row],[Data]]="","",PROPER(TEXT(Tabela2[[#This Row],[Data]],"mmm")))</f>
        <v/>
      </c>
      <c r="C139" s="1" t="str">
        <f>IF(Tabela2[[#This Row],[Data]]="","",PROPER(TEXT(Tabela2[[#This Row],[Data]],"ddd")))</f>
        <v/>
      </c>
      <c r="D139" s="9"/>
      <c r="E139" s="9"/>
      <c r="F139" s="9"/>
      <c r="G139" s="11"/>
      <c r="H139" s="9"/>
      <c r="I139" s="22"/>
      <c r="J139" s="24"/>
      <c r="K13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39" s="22"/>
    </row>
    <row r="140" spans="1:12" x14ac:dyDescent="0.25">
      <c r="A140" s="8"/>
      <c r="B140" s="1" t="str">
        <f>IF(Tabela2[[#This Row],[Data]]="","",PROPER(TEXT(Tabela2[[#This Row],[Data]],"mmm")))</f>
        <v/>
      </c>
      <c r="C140" s="1" t="str">
        <f>IF(Tabela2[[#This Row],[Data]]="","",PROPER(TEXT(Tabela2[[#This Row],[Data]],"ddd")))</f>
        <v/>
      </c>
      <c r="D140" s="9"/>
      <c r="E140" s="9"/>
      <c r="F140" s="9"/>
      <c r="G140" s="11"/>
      <c r="H140" s="9"/>
      <c r="I140" s="22"/>
      <c r="J140" s="24"/>
      <c r="K14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40" s="22"/>
    </row>
    <row r="141" spans="1:12" x14ac:dyDescent="0.25">
      <c r="A141" s="8"/>
      <c r="B141" s="1" t="str">
        <f>IF(Tabela2[[#This Row],[Data]]="","",PROPER(TEXT(Tabela2[[#This Row],[Data]],"mmm")))</f>
        <v/>
      </c>
      <c r="C141" s="1" t="str">
        <f>IF(Tabela2[[#This Row],[Data]]="","",PROPER(TEXT(Tabela2[[#This Row],[Data]],"ddd")))</f>
        <v/>
      </c>
      <c r="D141" s="9"/>
      <c r="E141" s="9"/>
      <c r="F141" s="9"/>
      <c r="G141" s="11"/>
      <c r="H141" s="9"/>
      <c r="I141" s="22"/>
      <c r="J141" s="24"/>
      <c r="K14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41" s="22"/>
    </row>
    <row r="142" spans="1:12" x14ac:dyDescent="0.25">
      <c r="A142" s="8"/>
      <c r="B142" s="1" t="str">
        <f>IF(Tabela2[[#This Row],[Data]]="","",PROPER(TEXT(Tabela2[[#This Row],[Data]],"mmm")))</f>
        <v/>
      </c>
      <c r="C142" s="1" t="str">
        <f>IF(Tabela2[[#This Row],[Data]]="","",PROPER(TEXT(Tabela2[[#This Row],[Data]],"ddd")))</f>
        <v/>
      </c>
      <c r="D142" s="9"/>
      <c r="E142" s="9"/>
      <c r="F142" s="9"/>
      <c r="G142" s="10"/>
      <c r="H142" s="9"/>
      <c r="I142" s="22"/>
      <c r="J142" s="24"/>
      <c r="K14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42" s="22"/>
    </row>
    <row r="143" spans="1:12" x14ac:dyDescent="0.25">
      <c r="A143" s="8"/>
      <c r="B143" s="1" t="str">
        <f>IF(Tabela2[[#This Row],[Data]]="","",PROPER(TEXT(Tabela2[[#This Row],[Data]],"mmm")))</f>
        <v/>
      </c>
      <c r="C143" s="1" t="str">
        <f>IF(Tabela2[[#This Row],[Data]]="","",PROPER(TEXT(Tabela2[[#This Row],[Data]],"ddd")))</f>
        <v/>
      </c>
      <c r="D143" s="9"/>
      <c r="E143" s="9"/>
      <c r="F143" s="9"/>
      <c r="G143" s="11"/>
      <c r="H143" s="9"/>
      <c r="I143" s="22"/>
      <c r="J143" s="24"/>
      <c r="K14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43" s="22"/>
    </row>
    <row r="144" spans="1:12" x14ac:dyDescent="0.25">
      <c r="A144" s="8"/>
      <c r="B144" s="1" t="str">
        <f>IF(Tabela2[[#This Row],[Data]]="","",PROPER(TEXT(Tabela2[[#This Row],[Data]],"mmm")))</f>
        <v/>
      </c>
      <c r="C144" s="1" t="str">
        <f>IF(Tabela2[[#This Row],[Data]]="","",PROPER(TEXT(Tabela2[[#This Row],[Data]],"ddd")))</f>
        <v/>
      </c>
      <c r="D144" s="9"/>
      <c r="E144" s="9"/>
      <c r="F144" s="9"/>
      <c r="G144" s="11"/>
      <c r="H144" s="9"/>
      <c r="I144" s="22"/>
      <c r="J144" s="24"/>
      <c r="K14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44" s="22"/>
    </row>
    <row r="145" spans="1:12" x14ac:dyDescent="0.25">
      <c r="A145" s="8"/>
      <c r="B145" s="1" t="str">
        <f>IF(Tabela2[[#This Row],[Data]]="","",PROPER(TEXT(Tabela2[[#This Row],[Data]],"mmm")))</f>
        <v/>
      </c>
      <c r="C145" s="1" t="str">
        <f>IF(Tabela2[[#This Row],[Data]]="","",PROPER(TEXT(Tabela2[[#This Row],[Data]],"ddd")))</f>
        <v/>
      </c>
      <c r="D145" s="9"/>
      <c r="E145" s="9"/>
      <c r="F145" s="9"/>
      <c r="G145" s="11"/>
      <c r="H145" s="9"/>
      <c r="I145" s="22"/>
      <c r="J145" s="24"/>
      <c r="K14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45" s="22"/>
    </row>
    <row r="146" spans="1:12" x14ac:dyDescent="0.25">
      <c r="A146" s="8"/>
      <c r="B146" s="1" t="str">
        <f>IF(Tabela2[[#This Row],[Data]]="","",PROPER(TEXT(Tabela2[[#This Row],[Data]],"mmm")))</f>
        <v/>
      </c>
      <c r="C146" s="1" t="str">
        <f>IF(Tabela2[[#This Row],[Data]]="","",PROPER(TEXT(Tabela2[[#This Row],[Data]],"ddd")))</f>
        <v/>
      </c>
      <c r="D146" s="9"/>
      <c r="E146" s="9"/>
      <c r="F146" s="9"/>
      <c r="G146" s="11"/>
      <c r="H146" s="9"/>
      <c r="I146" s="22"/>
      <c r="J146" s="24"/>
      <c r="K14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46" s="22"/>
    </row>
    <row r="147" spans="1:12" x14ac:dyDescent="0.25">
      <c r="A147" s="8"/>
      <c r="B147" s="1" t="str">
        <f>IF(Tabela2[[#This Row],[Data]]="","",PROPER(TEXT(Tabela2[[#This Row],[Data]],"mmm")))</f>
        <v/>
      </c>
      <c r="C147" s="1" t="str">
        <f>IF(Tabela2[[#This Row],[Data]]="","",PROPER(TEXT(Tabela2[[#This Row],[Data]],"ddd")))</f>
        <v/>
      </c>
      <c r="D147" s="9"/>
      <c r="E147" s="9"/>
      <c r="F147" s="9"/>
      <c r="G147" s="11"/>
      <c r="H147" s="9"/>
      <c r="I147" s="22"/>
      <c r="J147" s="24"/>
      <c r="K14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47" s="22"/>
    </row>
    <row r="148" spans="1:12" x14ac:dyDescent="0.25">
      <c r="A148" s="8"/>
      <c r="B148" s="1" t="str">
        <f>IF(Tabela2[[#This Row],[Data]]="","",PROPER(TEXT(Tabela2[[#This Row],[Data]],"mmm")))</f>
        <v/>
      </c>
      <c r="C148" s="1" t="str">
        <f>IF(Tabela2[[#This Row],[Data]]="","",PROPER(TEXT(Tabela2[[#This Row],[Data]],"ddd")))</f>
        <v/>
      </c>
      <c r="D148" s="9"/>
      <c r="E148" s="9"/>
      <c r="F148" s="9"/>
      <c r="G148" s="10"/>
      <c r="H148" s="9"/>
      <c r="I148" s="22"/>
      <c r="J148" s="24"/>
      <c r="K14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48" s="22"/>
    </row>
    <row r="149" spans="1:12" x14ac:dyDescent="0.25">
      <c r="A149" s="8"/>
      <c r="B149" s="1" t="str">
        <f>IF(Tabela2[[#This Row],[Data]]="","",PROPER(TEXT(Tabela2[[#This Row],[Data]],"mmm")))</f>
        <v/>
      </c>
      <c r="C149" s="1" t="str">
        <f>IF(Tabela2[[#This Row],[Data]]="","",PROPER(TEXT(Tabela2[[#This Row],[Data]],"ddd")))</f>
        <v/>
      </c>
      <c r="D149" s="9"/>
      <c r="E149" s="9"/>
      <c r="F149" s="9"/>
      <c r="G149" s="11"/>
      <c r="H149" s="9"/>
      <c r="I149" s="22"/>
      <c r="J149" s="24"/>
      <c r="K14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49" s="22"/>
    </row>
    <row r="150" spans="1:12" x14ac:dyDescent="0.25">
      <c r="A150" s="8"/>
      <c r="B150" s="1" t="str">
        <f>IF(Tabela2[[#This Row],[Data]]="","",PROPER(TEXT(Tabela2[[#This Row],[Data]],"mmm")))</f>
        <v/>
      </c>
      <c r="C150" s="1" t="str">
        <f>IF(Tabela2[[#This Row],[Data]]="","",PROPER(TEXT(Tabela2[[#This Row],[Data]],"ddd")))</f>
        <v/>
      </c>
      <c r="D150" s="9"/>
      <c r="E150" s="9"/>
      <c r="F150" s="9"/>
      <c r="G150" s="11"/>
      <c r="H150" s="9"/>
      <c r="I150" s="22"/>
      <c r="J150" s="24"/>
      <c r="K15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50" s="22"/>
    </row>
    <row r="151" spans="1:12" x14ac:dyDescent="0.25">
      <c r="A151" s="8"/>
      <c r="B151" s="1" t="str">
        <f>IF(Tabela2[[#This Row],[Data]]="","",PROPER(TEXT(Tabela2[[#This Row],[Data]],"mmm")))</f>
        <v/>
      </c>
      <c r="C151" s="1" t="str">
        <f>IF(Tabela2[[#This Row],[Data]]="","",PROPER(TEXT(Tabela2[[#This Row],[Data]],"ddd")))</f>
        <v/>
      </c>
      <c r="D151" s="9"/>
      <c r="E151" s="9"/>
      <c r="F151" s="9"/>
      <c r="G151" s="11"/>
      <c r="H151" s="9"/>
      <c r="I151" s="22"/>
      <c r="J151" s="24"/>
      <c r="K15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51" s="22"/>
    </row>
    <row r="152" spans="1:12" x14ac:dyDescent="0.25">
      <c r="A152" s="8"/>
      <c r="B152" s="1" t="str">
        <f>IF(Tabela2[[#This Row],[Data]]="","",PROPER(TEXT(Tabela2[[#This Row],[Data]],"mmm")))</f>
        <v/>
      </c>
      <c r="C152" s="1" t="str">
        <f>IF(Tabela2[[#This Row],[Data]]="","",PROPER(TEXT(Tabela2[[#This Row],[Data]],"ddd")))</f>
        <v/>
      </c>
      <c r="D152" s="9"/>
      <c r="E152" s="9"/>
      <c r="F152" s="9"/>
      <c r="G152" s="11"/>
      <c r="H152" s="9"/>
      <c r="I152" s="22"/>
      <c r="J152" s="24"/>
      <c r="K15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52" s="22"/>
    </row>
    <row r="153" spans="1:12" x14ac:dyDescent="0.25">
      <c r="A153" s="8"/>
      <c r="B153" s="1" t="str">
        <f>IF(Tabela2[[#This Row],[Data]]="","",PROPER(TEXT(Tabela2[[#This Row],[Data]],"mmm")))</f>
        <v/>
      </c>
      <c r="C153" s="1" t="str">
        <f>IF(Tabela2[[#This Row],[Data]]="","",PROPER(TEXT(Tabela2[[#This Row],[Data]],"ddd")))</f>
        <v/>
      </c>
      <c r="D153" s="9"/>
      <c r="E153" s="9"/>
      <c r="F153" s="9"/>
      <c r="G153" s="11"/>
      <c r="H153" s="9"/>
      <c r="I153" s="22"/>
      <c r="J153" s="24"/>
      <c r="K15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53" s="22"/>
    </row>
    <row r="154" spans="1:12" x14ac:dyDescent="0.25">
      <c r="A154" s="8"/>
      <c r="B154" s="1" t="str">
        <f>IF(Tabela2[[#This Row],[Data]]="","",PROPER(TEXT(Tabela2[[#This Row],[Data]],"mmm")))</f>
        <v/>
      </c>
      <c r="C154" s="1" t="str">
        <f>IF(Tabela2[[#This Row],[Data]]="","",PROPER(TEXT(Tabela2[[#This Row],[Data]],"ddd")))</f>
        <v/>
      </c>
      <c r="D154" s="9"/>
      <c r="E154" s="9"/>
      <c r="F154" s="9"/>
      <c r="G154" s="10"/>
      <c r="H154" s="9"/>
      <c r="I154" s="22"/>
      <c r="J154" s="24"/>
      <c r="K15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54" s="22"/>
    </row>
    <row r="155" spans="1:12" x14ac:dyDescent="0.25">
      <c r="A155" s="8"/>
      <c r="B155" s="1" t="str">
        <f>IF(Tabela2[[#This Row],[Data]]="","",PROPER(TEXT(Tabela2[[#This Row],[Data]],"mmm")))</f>
        <v/>
      </c>
      <c r="C155" s="1" t="str">
        <f>IF(Tabela2[[#This Row],[Data]]="","",PROPER(TEXT(Tabela2[[#This Row],[Data]],"ddd")))</f>
        <v/>
      </c>
      <c r="D155" s="9"/>
      <c r="E155" s="9"/>
      <c r="F155" s="9"/>
      <c r="G155" s="11"/>
      <c r="H155" s="9"/>
      <c r="I155" s="22"/>
      <c r="J155" s="24"/>
      <c r="K15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55" s="22"/>
    </row>
    <row r="156" spans="1:12" x14ac:dyDescent="0.25">
      <c r="A156" s="8"/>
      <c r="B156" s="1" t="str">
        <f>IF(Tabela2[[#This Row],[Data]]="","",PROPER(TEXT(Tabela2[[#This Row],[Data]],"mmm")))</f>
        <v/>
      </c>
      <c r="C156" s="1" t="str">
        <f>IF(Tabela2[[#This Row],[Data]]="","",PROPER(TEXT(Tabela2[[#This Row],[Data]],"ddd")))</f>
        <v/>
      </c>
      <c r="D156" s="9"/>
      <c r="E156" s="9"/>
      <c r="F156" s="9"/>
      <c r="G156" s="11"/>
      <c r="H156" s="9"/>
      <c r="I156" s="22"/>
      <c r="J156" s="24"/>
      <c r="K15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56" s="22"/>
    </row>
    <row r="157" spans="1:12" x14ac:dyDescent="0.25">
      <c r="A157" s="8"/>
      <c r="B157" s="1" t="str">
        <f>IF(Tabela2[[#This Row],[Data]]="","",PROPER(TEXT(Tabela2[[#This Row],[Data]],"mmm")))</f>
        <v/>
      </c>
      <c r="C157" s="1" t="str">
        <f>IF(Tabela2[[#This Row],[Data]]="","",PROPER(TEXT(Tabela2[[#This Row],[Data]],"ddd")))</f>
        <v/>
      </c>
      <c r="D157" s="9"/>
      <c r="E157" s="9"/>
      <c r="F157" s="9"/>
      <c r="G157" s="11"/>
      <c r="H157" s="9"/>
      <c r="I157" s="22"/>
      <c r="J157" s="24"/>
      <c r="K15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57" s="22"/>
    </row>
    <row r="158" spans="1:12" x14ac:dyDescent="0.25">
      <c r="A158" s="8"/>
      <c r="B158" s="1" t="str">
        <f>IF(Tabela2[[#This Row],[Data]]="","",PROPER(TEXT(Tabela2[[#This Row],[Data]],"mmm")))</f>
        <v/>
      </c>
      <c r="C158" s="1" t="str">
        <f>IF(Tabela2[[#This Row],[Data]]="","",PROPER(TEXT(Tabela2[[#This Row],[Data]],"ddd")))</f>
        <v/>
      </c>
      <c r="D158" s="9"/>
      <c r="E158" s="9"/>
      <c r="F158" s="9"/>
      <c r="G158" s="11"/>
      <c r="H158" s="9"/>
      <c r="I158" s="22"/>
      <c r="J158" s="24"/>
      <c r="K15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58" s="22"/>
    </row>
    <row r="159" spans="1:12" x14ac:dyDescent="0.25">
      <c r="A159" s="8"/>
      <c r="B159" s="1" t="str">
        <f>IF(Tabela2[[#This Row],[Data]]="","",PROPER(TEXT(Tabela2[[#This Row],[Data]],"mmm")))</f>
        <v/>
      </c>
      <c r="C159" s="1" t="str">
        <f>IF(Tabela2[[#This Row],[Data]]="","",PROPER(TEXT(Tabela2[[#This Row],[Data]],"ddd")))</f>
        <v/>
      </c>
      <c r="D159" s="9"/>
      <c r="E159" s="9"/>
      <c r="F159" s="9"/>
      <c r="G159" s="11"/>
      <c r="H159" s="9"/>
      <c r="I159" s="22"/>
      <c r="J159" s="24"/>
      <c r="K15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59" s="22"/>
    </row>
    <row r="160" spans="1:12" x14ac:dyDescent="0.25">
      <c r="A160" s="8"/>
      <c r="B160" s="1" t="str">
        <f>IF(Tabela2[[#This Row],[Data]]="","",PROPER(TEXT(Tabela2[[#This Row],[Data]],"mmm")))</f>
        <v/>
      </c>
      <c r="C160" s="1" t="str">
        <f>IF(Tabela2[[#This Row],[Data]]="","",PROPER(TEXT(Tabela2[[#This Row],[Data]],"ddd")))</f>
        <v/>
      </c>
      <c r="D160" s="9"/>
      <c r="E160" s="9"/>
      <c r="F160" s="9"/>
      <c r="G160" s="10"/>
      <c r="H160" s="9"/>
      <c r="I160" s="22"/>
      <c r="J160" s="24"/>
      <c r="K16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60" s="22"/>
    </row>
    <row r="161" spans="1:12" x14ac:dyDescent="0.25">
      <c r="A161" s="8"/>
      <c r="B161" s="1" t="str">
        <f>IF(Tabela2[[#This Row],[Data]]="","",PROPER(TEXT(Tabela2[[#This Row],[Data]],"mmm")))</f>
        <v/>
      </c>
      <c r="C161" s="1" t="str">
        <f>IF(Tabela2[[#This Row],[Data]]="","",PROPER(TEXT(Tabela2[[#This Row],[Data]],"ddd")))</f>
        <v/>
      </c>
      <c r="D161" s="9"/>
      <c r="E161" s="9"/>
      <c r="F161" s="9"/>
      <c r="G161" s="11"/>
      <c r="H161" s="9"/>
      <c r="I161" s="22"/>
      <c r="J161" s="24"/>
      <c r="K16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61" s="22"/>
    </row>
    <row r="162" spans="1:12" x14ac:dyDescent="0.25">
      <c r="A162" s="8"/>
      <c r="B162" s="1" t="str">
        <f>IF(Tabela2[[#This Row],[Data]]="","",PROPER(TEXT(Tabela2[[#This Row],[Data]],"mmm")))</f>
        <v/>
      </c>
      <c r="C162" s="1" t="str">
        <f>IF(Tabela2[[#This Row],[Data]]="","",PROPER(TEXT(Tabela2[[#This Row],[Data]],"ddd")))</f>
        <v/>
      </c>
      <c r="D162" s="9"/>
      <c r="E162" s="9"/>
      <c r="F162" s="9"/>
      <c r="G162" s="11"/>
      <c r="H162" s="9"/>
      <c r="I162" s="22"/>
      <c r="J162" s="24"/>
      <c r="K16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62" s="22"/>
    </row>
    <row r="163" spans="1:12" x14ac:dyDescent="0.25">
      <c r="A163" s="8"/>
      <c r="B163" s="1" t="str">
        <f>IF(Tabela2[[#This Row],[Data]]="","",PROPER(TEXT(Tabela2[[#This Row],[Data]],"mmm")))</f>
        <v/>
      </c>
      <c r="C163" s="1" t="str">
        <f>IF(Tabela2[[#This Row],[Data]]="","",PROPER(TEXT(Tabela2[[#This Row],[Data]],"ddd")))</f>
        <v/>
      </c>
      <c r="D163" s="9"/>
      <c r="E163" s="9"/>
      <c r="F163" s="9"/>
      <c r="G163" s="11"/>
      <c r="H163" s="9"/>
      <c r="I163" s="22"/>
      <c r="J163" s="24"/>
      <c r="K16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63" s="22"/>
    </row>
    <row r="164" spans="1:12" x14ac:dyDescent="0.25">
      <c r="A164" s="8"/>
      <c r="B164" s="1" t="str">
        <f>IF(Tabela2[[#This Row],[Data]]="","",PROPER(TEXT(Tabela2[[#This Row],[Data]],"mmm")))</f>
        <v/>
      </c>
      <c r="C164" s="1" t="str">
        <f>IF(Tabela2[[#This Row],[Data]]="","",PROPER(TEXT(Tabela2[[#This Row],[Data]],"ddd")))</f>
        <v/>
      </c>
      <c r="D164" s="9"/>
      <c r="E164" s="9"/>
      <c r="F164" s="9"/>
      <c r="G164" s="11"/>
      <c r="H164" s="9"/>
      <c r="I164" s="22"/>
      <c r="J164" s="24"/>
      <c r="K16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64" s="22"/>
    </row>
    <row r="165" spans="1:12" x14ac:dyDescent="0.25">
      <c r="A165" s="8"/>
      <c r="B165" s="1" t="str">
        <f>IF(Tabela2[[#This Row],[Data]]="","",PROPER(TEXT(Tabela2[[#This Row],[Data]],"mmm")))</f>
        <v/>
      </c>
      <c r="C165" s="1" t="str">
        <f>IF(Tabela2[[#This Row],[Data]]="","",PROPER(TEXT(Tabela2[[#This Row],[Data]],"ddd")))</f>
        <v/>
      </c>
      <c r="D165" s="9"/>
      <c r="E165" s="9"/>
      <c r="F165" s="9"/>
      <c r="G165" s="11"/>
      <c r="H165" s="9"/>
      <c r="I165" s="22"/>
      <c r="J165" s="24"/>
      <c r="K16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65" s="22"/>
    </row>
    <row r="166" spans="1:12" x14ac:dyDescent="0.25">
      <c r="A166" s="8"/>
      <c r="B166" s="1" t="str">
        <f>IF(Tabela2[[#This Row],[Data]]="","",PROPER(TEXT(Tabela2[[#This Row],[Data]],"mmm")))</f>
        <v/>
      </c>
      <c r="C166" s="1" t="str">
        <f>IF(Tabela2[[#This Row],[Data]]="","",PROPER(TEXT(Tabela2[[#This Row],[Data]],"ddd")))</f>
        <v/>
      </c>
      <c r="D166" s="9"/>
      <c r="E166" s="9"/>
      <c r="F166" s="9"/>
      <c r="G166" s="10"/>
      <c r="H166" s="9"/>
      <c r="I166" s="22"/>
      <c r="J166" s="24"/>
      <c r="K16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66" s="22"/>
    </row>
    <row r="167" spans="1:12" x14ac:dyDescent="0.25">
      <c r="A167" s="8"/>
      <c r="B167" s="1" t="str">
        <f>IF(Tabela2[[#This Row],[Data]]="","",PROPER(TEXT(Tabela2[[#This Row],[Data]],"mmm")))</f>
        <v/>
      </c>
      <c r="C167" s="1" t="str">
        <f>IF(Tabela2[[#This Row],[Data]]="","",PROPER(TEXT(Tabela2[[#This Row],[Data]],"ddd")))</f>
        <v/>
      </c>
      <c r="D167" s="9"/>
      <c r="E167" s="9"/>
      <c r="F167" s="9"/>
      <c r="G167" s="11"/>
      <c r="H167" s="9"/>
      <c r="I167" s="22"/>
      <c r="J167" s="24"/>
      <c r="K16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67" s="22"/>
    </row>
    <row r="168" spans="1:12" x14ac:dyDescent="0.25">
      <c r="A168" s="8"/>
      <c r="B168" s="1" t="str">
        <f>IF(Tabela2[[#This Row],[Data]]="","",PROPER(TEXT(Tabela2[[#This Row],[Data]],"mmm")))</f>
        <v/>
      </c>
      <c r="C168" s="1" t="str">
        <f>IF(Tabela2[[#This Row],[Data]]="","",PROPER(TEXT(Tabela2[[#This Row],[Data]],"ddd")))</f>
        <v/>
      </c>
      <c r="D168" s="9"/>
      <c r="E168" s="9"/>
      <c r="F168" s="9"/>
      <c r="G168" s="11"/>
      <c r="H168" s="9"/>
      <c r="I168" s="22"/>
      <c r="J168" s="24"/>
      <c r="K16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68" s="22"/>
    </row>
    <row r="169" spans="1:12" x14ac:dyDescent="0.25">
      <c r="A169" s="8"/>
      <c r="B169" s="1" t="str">
        <f>IF(Tabela2[[#This Row],[Data]]="","",PROPER(TEXT(Tabela2[[#This Row],[Data]],"mmm")))</f>
        <v/>
      </c>
      <c r="C169" s="1" t="str">
        <f>IF(Tabela2[[#This Row],[Data]]="","",PROPER(TEXT(Tabela2[[#This Row],[Data]],"ddd")))</f>
        <v/>
      </c>
      <c r="D169" s="9"/>
      <c r="E169" s="9"/>
      <c r="F169" s="9"/>
      <c r="G169" s="11"/>
      <c r="H169" s="9"/>
      <c r="I169" s="22"/>
      <c r="J169" s="24"/>
      <c r="K16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69" s="22"/>
    </row>
    <row r="170" spans="1:12" x14ac:dyDescent="0.25">
      <c r="A170" s="8"/>
      <c r="B170" s="1" t="str">
        <f>IF(Tabela2[[#This Row],[Data]]="","",PROPER(TEXT(Tabela2[[#This Row],[Data]],"mmm")))</f>
        <v/>
      </c>
      <c r="C170" s="1" t="str">
        <f>IF(Tabela2[[#This Row],[Data]]="","",PROPER(TEXT(Tabela2[[#This Row],[Data]],"ddd")))</f>
        <v/>
      </c>
      <c r="D170" s="9"/>
      <c r="E170" s="9"/>
      <c r="F170" s="9"/>
      <c r="G170" s="11"/>
      <c r="H170" s="9"/>
      <c r="I170" s="22"/>
      <c r="J170" s="24"/>
      <c r="K17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70" s="22"/>
    </row>
    <row r="171" spans="1:12" x14ac:dyDescent="0.25">
      <c r="A171" s="8"/>
      <c r="B171" s="1" t="str">
        <f>IF(Tabela2[[#This Row],[Data]]="","",PROPER(TEXT(Tabela2[[#This Row],[Data]],"mmm")))</f>
        <v/>
      </c>
      <c r="C171" s="1" t="str">
        <f>IF(Tabela2[[#This Row],[Data]]="","",PROPER(TEXT(Tabela2[[#This Row],[Data]],"ddd")))</f>
        <v/>
      </c>
      <c r="D171" s="9"/>
      <c r="E171" s="9"/>
      <c r="F171" s="9"/>
      <c r="G171" s="11"/>
      <c r="H171" s="9"/>
      <c r="I171" s="22"/>
      <c r="J171" s="24"/>
      <c r="K17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71" s="22"/>
    </row>
    <row r="172" spans="1:12" x14ac:dyDescent="0.25">
      <c r="A172" s="8"/>
      <c r="B172" s="1" t="str">
        <f>IF(Tabela2[[#This Row],[Data]]="","",PROPER(TEXT(Tabela2[[#This Row],[Data]],"mmm")))</f>
        <v/>
      </c>
      <c r="C172" s="1" t="str">
        <f>IF(Tabela2[[#This Row],[Data]]="","",PROPER(TEXT(Tabela2[[#This Row],[Data]],"ddd")))</f>
        <v/>
      </c>
      <c r="D172" s="9"/>
      <c r="E172" s="9"/>
      <c r="F172" s="9"/>
      <c r="G172" s="10"/>
      <c r="H172" s="9"/>
      <c r="I172" s="22"/>
      <c r="J172" s="24"/>
      <c r="K17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72" s="22"/>
    </row>
    <row r="173" spans="1:12" x14ac:dyDescent="0.25">
      <c r="A173" s="8"/>
      <c r="B173" s="1" t="str">
        <f>IF(Tabela2[[#This Row],[Data]]="","",PROPER(TEXT(Tabela2[[#This Row],[Data]],"mmm")))</f>
        <v/>
      </c>
      <c r="C173" s="1" t="str">
        <f>IF(Tabela2[[#This Row],[Data]]="","",PROPER(TEXT(Tabela2[[#This Row],[Data]],"ddd")))</f>
        <v/>
      </c>
      <c r="D173" s="9"/>
      <c r="E173" s="9"/>
      <c r="F173" s="9"/>
      <c r="G173" s="11"/>
      <c r="H173" s="9"/>
      <c r="I173" s="22"/>
      <c r="J173" s="24"/>
      <c r="K17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73" s="22"/>
    </row>
    <row r="174" spans="1:12" x14ac:dyDescent="0.25">
      <c r="A174" s="8"/>
      <c r="B174" s="1" t="str">
        <f>IF(Tabela2[[#This Row],[Data]]="","",PROPER(TEXT(Tabela2[[#This Row],[Data]],"mmm")))</f>
        <v/>
      </c>
      <c r="C174" s="1" t="str">
        <f>IF(Tabela2[[#This Row],[Data]]="","",PROPER(TEXT(Tabela2[[#This Row],[Data]],"ddd")))</f>
        <v/>
      </c>
      <c r="D174" s="9"/>
      <c r="E174" s="9"/>
      <c r="F174" s="9"/>
      <c r="G174" s="11"/>
      <c r="H174" s="9"/>
      <c r="I174" s="22"/>
      <c r="J174" s="24"/>
      <c r="K17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74" s="22"/>
    </row>
    <row r="175" spans="1:12" x14ac:dyDescent="0.25">
      <c r="A175" s="8"/>
      <c r="B175" s="1" t="str">
        <f>IF(Tabela2[[#This Row],[Data]]="","",PROPER(TEXT(Tabela2[[#This Row],[Data]],"mmm")))</f>
        <v/>
      </c>
      <c r="C175" s="1" t="str">
        <f>IF(Tabela2[[#This Row],[Data]]="","",PROPER(TEXT(Tabela2[[#This Row],[Data]],"ddd")))</f>
        <v/>
      </c>
      <c r="D175" s="9"/>
      <c r="E175" s="9"/>
      <c r="F175" s="9"/>
      <c r="G175" s="11"/>
      <c r="H175" s="9"/>
      <c r="I175" s="22"/>
      <c r="J175" s="24"/>
      <c r="K17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75" s="22"/>
    </row>
    <row r="176" spans="1:12" x14ac:dyDescent="0.25">
      <c r="A176" s="8"/>
      <c r="B176" s="1" t="str">
        <f>IF(Tabela2[[#This Row],[Data]]="","",PROPER(TEXT(Tabela2[[#This Row],[Data]],"mmm")))</f>
        <v/>
      </c>
      <c r="C176" s="1" t="str">
        <f>IF(Tabela2[[#This Row],[Data]]="","",PROPER(TEXT(Tabela2[[#This Row],[Data]],"ddd")))</f>
        <v/>
      </c>
      <c r="D176" s="9"/>
      <c r="E176" s="9"/>
      <c r="F176" s="9"/>
      <c r="G176" s="11"/>
      <c r="H176" s="9"/>
      <c r="I176" s="22"/>
      <c r="J176" s="24"/>
      <c r="K17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76" s="22"/>
    </row>
    <row r="177" spans="1:12" x14ac:dyDescent="0.25">
      <c r="A177" s="8"/>
      <c r="B177" s="1" t="str">
        <f>IF(Tabela2[[#This Row],[Data]]="","",PROPER(TEXT(Tabela2[[#This Row],[Data]],"mmm")))</f>
        <v/>
      </c>
      <c r="C177" s="1" t="str">
        <f>IF(Tabela2[[#This Row],[Data]]="","",PROPER(TEXT(Tabela2[[#This Row],[Data]],"ddd")))</f>
        <v/>
      </c>
      <c r="D177" s="9"/>
      <c r="E177" s="9"/>
      <c r="F177" s="9"/>
      <c r="G177" s="11"/>
      <c r="H177" s="9"/>
      <c r="I177" s="22"/>
      <c r="J177" s="24"/>
      <c r="K17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77" s="22"/>
    </row>
    <row r="178" spans="1:12" x14ac:dyDescent="0.25">
      <c r="A178" s="8"/>
      <c r="B178" s="1" t="str">
        <f>IF(Tabela2[[#This Row],[Data]]="","",PROPER(TEXT(Tabela2[[#This Row],[Data]],"mmm")))</f>
        <v/>
      </c>
      <c r="C178" s="1" t="str">
        <f>IF(Tabela2[[#This Row],[Data]]="","",PROPER(TEXT(Tabela2[[#This Row],[Data]],"ddd")))</f>
        <v/>
      </c>
      <c r="D178" s="9"/>
      <c r="E178" s="9"/>
      <c r="F178" s="9"/>
      <c r="G178" s="10"/>
      <c r="H178" s="9"/>
      <c r="I178" s="22"/>
      <c r="J178" s="24"/>
      <c r="K17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78" s="22"/>
    </row>
    <row r="179" spans="1:12" x14ac:dyDescent="0.25">
      <c r="A179" s="8"/>
      <c r="B179" s="1" t="str">
        <f>IF(Tabela2[[#This Row],[Data]]="","",PROPER(TEXT(Tabela2[[#This Row],[Data]],"mmm")))</f>
        <v/>
      </c>
      <c r="C179" s="1" t="str">
        <f>IF(Tabela2[[#This Row],[Data]]="","",PROPER(TEXT(Tabela2[[#This Row],[Data]],"ddd")))</f>
        <v/>
      </c>
      <c r="D179" s="9"/>
      <c r="E179" s="9"/>
      <c r="F179" s="9"/>
      <c r="G179" s="11"/>
      <c r="H179" s="9"/>
      <c r="I179" s="22"/>
      <c r="J179" s="24"/>
      <c r="K17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79" s="22"/>
    </row>
    <row r="180" spans="1:12" x14ac:dyDescent="0.25">
      <c r="A180" s="8"/>
      <c r="B180" s="1" t="str">
        <f>IF(Tabela2[[#This Row],[Data]]="","",PROPER(TEXT(Tabela2[[#This Row],[Data]],"mmm")))</f>
        <v/>
      </c>
      <c r="C180" s="1" t="str">
        <f>IF(Tabela2[[#This Row],[Data]]="","",PROPER(TEXT(Tabela2[[#This Row],[Data]],"ddd")))</f>
        <v/>
      </c>
      <c r="D180" s="9"/>
      <c r="E180" s="9"/>
      <c r="F180" s="9"/>
      <c r="G180" s="11"/>
      <c r="H180" s="9"/>
      <c r="I180" s="22"/>
      <c r="J180" s="24"/>
      <c r="K18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80" s="22"/>
    </row>
    <row r="181" spans="1:12" x14ac:dyDescent="0.25">
      <c r="A181" s="8"/>
      <c r="B181" s="1" t="str">
        <f>IF(Tabela2[[#This Row],[Data]]="","",PROPER(TEXT(Tabela2[[#This Row],[Data]],"mmm")))</f>
        <v/>
      </c>
      <c r="C181" s="1" t="str">
        <f>IF(Tabela2[[#This Row],[Data]]="","",PROPER(TEXT(Tabela2[[#This Row],[Data]],"ddd")))</f>
        <v/>
      </c>
      <c r="D181" s="9"/>
      <c r="E181" s="9"/>
      <c r="F181" s="9"/>
      <c r="G181" s="11"/>
      <c r="H181" s="9"/>
      <c r="I181" s="22"/>
      <c r="J181" s="24"/>
      <c r="K18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81" s="22"/>
    </row>
    <row r="182" spans="1:12" x14ac:dyDescent="0.25">
      <c r="A182" s="8"/>
      <c r="B182" s="1" t="str">
        <f>IF(Tabela2[[#This Row],[Data]]="","",PROPER(TEXT(Tabela2[[#This Row],[Data]],"mmm")))</f>
        <v/>
      </c>
      <c r="C182" s="1" t="str">
        <f>IF(Tabela2[[#This Row],[Data]]="","",PROPER(TEXT(Tabela2[[#This Row],[Data]],"ddd")))</f>
        <v/>
      </c>
      <c r="D182" s="9"/>
      <c r="E182" s="9"/>
      <c r="F182" s="9"/>
      <c r="G182" s="11"/>
      <c r="H182" s="9"/>
      <c r="I182" s="22"/>
      <c r="J182" s="24"/>
      <c r="K18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82" s="22"/>
    </row>
    <row r="183" spans="1:12" x14ac:dyDescent="0.25">
      <c r="A183" s="8"/>
      <c r="B183" s="1" t="str">
        <f>IF(Tabela2[[#This Row],[Data]]="","",PROPER(TEXT(Tabela2[[#This Row],[Data]],"mmm")))</f>
        <v/>
      </c>
      <c r="C183" s="1" t="str">
        <f>IF(Tabela2[[#This Row],[Data]]="","",PROPER(TEXT(Tabela2[[#This Row],[Data]],"ddd")))</f>
        <v/>
      </c>
      <c r="D183" s="9"/>
      <c r="E183" s="9"/>
      <c r="F183" s="9"/>
      <c r="G183" s="11"/>
      <c r="H183" s="9"/>
      <c r="I183" s="22"/>
      <c r="J183" s="24"/>
      <c r="K18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83" s="22"/>
    </row>
    <row r="184" spans="1:12" x14ac:dyDescent="0.25">
      <c r="A184" s="8"/>
      <c r="B184" s="1" t="str">
        <f>IF(Tabela2[[#This Row],[Data]]="","",PROPER(TEXT(Tabela2[[#This Row],[Data]],"mmm")))</f>
        <v/>
      </c>
      <c r="C184" s="1" t="str">
        <f>IF(Tabela2[[#This Row],[Data]]="","",PROPER(TEXT(Tabela2[[#This Row],[Data]],"ddd")))</f>
        <v/>
      </c>
      <c r="D184" s="9"/>
      <c r="E184" s="9"/>
      <c r="F184" s="9"/>
      <c r="G184" s="10"/>
      <c r="H184" s="9"/>
      <c r="I184" s="22"/>
      <c r="J184" s="24"/>
      <c r="K18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84" s="22"/>
    </row>
    <row r="185" spans="1:12" x14ac:dyDescent="0.25">
      <c r="A185" s="8"/>
      <c r="B185" s="1" t="str">
        <f>IF(Tabela2[[#This Row],[Data]]="","",PROPER(TEXT(Tabela2[[#This Row],[Data]],"mmm")))</f>
        <v/>
      </c>
      <c r="C185" s="1" t="str">
        <f>IF(Tabela2[[#This Row],[Data]]="","",PROPER(TEXT(Tabela2[[#This Row],[Data]],"ddd")))</f>
        <v/>
      </c>
      <c r="D185" s="9"/>
      <c r="E185" s="9"/>
      <c r="F185" s="9"/>
      <c r="G185" s="11"/>
      <c r="H185" s="9"/>
      <c r="I185" s="22"/>
      <c r="J185" s="24"/>
      <c r="K18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85" s="22"/>
    </row>
    <row r="186" spans="1:12" x14ac:dyDescent="0.25">
      <c r="A186" s="8"/>
      <c r="B186" s="1" t="str">
        <f>IF(Tabela2[[#This Row],[Data]]="","",PROPER(TEXT(Tabela2[[#This Row],[Data]],"mmm")))</f>
        <v/>
      </c>
      <c r="C186" s="1" t="str">
        <f>IF(Tabela2[[#This Row],[Data]]="","",PROPER(TEXT(Tabela2[[#This Row],[Data]],"ddd")))</f>
        <v/>
      </c>
      <c r="D186" s="9"/>
      <c r="E186" s="9"/>
      <c r="F186" s="9"/>
      <c r="G186" s="11"/>
      <c r="H186" s="9"/>
      <c r="I186" s="22"/>
      <c r="J186" s="24"/>
      <c r="K18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86" s="22"/>
    </row>
    <row r="187" spans="1:12" x14ac:dyDescent="0.25">
      <c r="A187" s="8"/>
      <c r="B187" s="1" t="str">
        <f>IF(Tabela2[[#This Row],[Data]]="","",PROPER(TEXT(Tabela2[[#This Row],[Data]],"mmm")))</f>
        <v/>
      </c>
      <c r="C187" s="1" t="str">
        <f>IF(Tabela2[[#This Row],[Data]]="","",PROPER(TEXT(Tabela2[[#This Row],[Data]],"ddd")))</f>
        <v/>
      </c>
      <c r="D187" s="9"/>
      <c r="E187" s="9"/>
      <c r="F187" s="9"/>
      <c r="G187" s="11"/>
      <c r="H187" s="9"/>
      <c r="I187" s="22"/>
      <c r="J187" s="24"/>
      <c r="K18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87" s="22"/>
    </row>
    <row r="188" spans="1:12" x14ac:dyDescent="0.25">
      <c r="A188" s="8"/>
      <c r="B188" s="1" t="str">
        <f>IF(Tabela2[[#This Row],[Data]]="","",PROPER(TEXT(Tabela2[[#This Row],[Data]],"mmm")))</f>
        <v/>
      </c>
      <c r="C188" s="1" t="str">
        <f>IF(Tabela2[[#This Row],[Data]]="","",PROPER(TEXT(Tabela2[[#This Row],[Data]],"ddd")))</f>
        <v/>
      </c>
      <c r="D188" s="9"/>
      <c r="E188" s="9"/>
      <c r="F188" s="9"/>
      <c r="G188" s="11"/>
      <c r="H188" s="9"/>
      <c r="I188" s="22"/>
      <c r="J188" s="24"/>
      <c r="K18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88" s="22"/>
    </row>
    <row r="189" spans="1:12" x14ac:dyDescent="0.25">
      <c r="A189" s="8"/>
      <c r="B189" s="1" t="str">
        <f>IF(Tabela2[[#This Row],[Data]]="","",PROPER(TEXT(Tabela2[[#This Row],[Data]],"mmm")))</f>
        <v/>
      </c>
      <c r="C189" s="1" t="str">
        <f>IF(Tabela2[[#This Row],[Data]]="","",PROPER(TEXT(Tabela2[[#This Row],[Data]],"ddd")))</f>
        <v/>
      </c>
      <c r="D189" s="9"/>
      <c r="E189" s="9"/>
      <c r="F189" s="9"/>
      <c r="G189" s="11"/>
      <c r="H189" s="9"/>
      <c r="I189" s="22"/>
      <c r="J189" s="24"/>
      <c r="K18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89" s="22"/>
    </row>
    <row r="190" spans="1:12" x14ac:dyDescent="0.25">
      <c r="A190" s="8"/>
      <c r="B190" s="1" t="str">
        <f>IF(Tabela2[[#This Row],[Data]]="","",PROPER(TEXT(Tabela2[[#This Row],[Data]],"mmm")))</f>
        <v/>
      </c>
      <c r="C190" s="1" t="str">
        <f>IF(Tabela2[[#This Row],[Data]]="","",PROPER(TEXT(Tabela2[[#This Row],[Data]],"ddd")))</f>
        <v/>
      </c>
      <c r="D190" s="9"/>
      <c r="E190" s="9"/>
      <c r="F190" s="9"/>
      <c r="G190" s="10"/>
      <c r="H190" s="9"/>
      <c r="I190" s="22"/>
      <c r="J190" s="24"/>
      <c r="K19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90" s="22"/>
    </row>
    <row r="191" spans="1:12" x14ac:dyDescent="0.25">
      <c r="A191" s="8"/>
      <c r="B191" s="1" t="str">
        <f>IF(Tabela2[[#This Row],[Data]]="","",PROPER(TEXT(Tabela2[[#This Row],[Data]],"mmm")))</f>
        <v/>
      </c>
      <c r="C191" s="1" t="str">
        <f>IF(Tabela2[[#This Row],[Data]]="","",PROPER(TEXT(Tabela2[[#This Row],[Data]],"ddd")))</f>
        <v/>
      </c>
      <c r="D191" s="9"/>
      <c r="E191" s="9"/>
      <c r="F191" s="9"/>
      <c r="G191" s="11"/>
      <c r="H191" s="9"/>
      <c r="I191" s="22"/>
      <c r="J191" s="24"/>
      <c r="K19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91" s="22"/>
    </row>
    <row r="192" spans="1:12" x14ac:dyDescent="0.25">
      <c r="A192" s="8"/>
      <c r="B192" s="1" t="str">
        <f>IF(Tabela2[[#This Row],[Data]]="","",PROPER(TEXT(Tabela2[[#This Row],[Data]],"mmm")))</f>
        <v/>
      </c>
      <c r="C192" s="1" t="str">
        <f>IF(Tabela2[[#This Row],[Data]]="","",PROPER(TEXT(Tabela2[[#This Row],[Data]],"ddd")))</f>
        <v/>
      </c>
      <c r="D192" s="9"/>
      <c r="E192" s="9"/>
      <c r="F192" s="9"/>
      <c r="G192" s="11"/>
      <c r="H192" s="9"/>
      <c r="I192" s="22"/>
      <c r="J192" s="24"/>
      <c r="K19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92" s="22"/>
    </row>
    <row r="193" spans="1:12" x14ac:dyDescent="0.25">
      <c r="A193" s="8"/>
      <c r="B193" s="1" t="str">
        <f>IF(Tabela2[[#This Row],[Data]]="","",PROPER(TEXT(Tabela2[[#This Row],[Data]],"mmm")))</f>
        <v/>
      </c>
      <c r="C193" s="1" t="str">
        <f>IF(Tabela2[[#This Row],[Data]]="","",PROPER(TEXT(Tabela2[[#This Row],[Data]],"ddd")))</f>
        <v/>
      </c>
      <c r="D193" s="9"/>
      <c r="E193" s="9"/>
      <c r="F193" s="9"/>
      <c r="G193" s="11"/>
      <c r="H193" s="9"/>
      <c r="I193" s="22"/>
      <c r="J193" s="24"/>
      <c r="K19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93" s="22"/>
    </row>
    <row r="194" spans="1:12" x14ac:dyDescent="0.25">
      <c r="A194" s="8"/>
      <c r="B194" s="1" t="str">
        <f>IF(Tabela2[[#This Row],[Data]]="","",PROPER(TEXT(Tabela2[[#This Row],[Data]],"mmm")))</f>
        <v/>
      </c>
      <c r="C194" s="1" t="str">
        <f>IF(Tabela2[[#This Row],[Data]]="","",PROPER(TEXT(Tabela2[[#This Row],[Data]],"ddd")))</f>
        <v/>
      </c>
      <c r="D194" s="9"/>
      <c r="E194" s="9"/>
      <c r="F194" s="9"/>
      <c r="G194" s="11"/>
      <c r="H194" s="9"/>
      <c r="I194" s="22"/>
      <c r="J194" s="24"/>
      <c r="K19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94" s="22"/>
    </row>
    <row r="195" spans="1:12" x14ac:dyDescent="0.25">
      <c r="A195" s="8"/>
      <c r="B195" s="1" t="str">
        <f>IF(Tabela2[[#This Row],[Data]]="","",PROPER(TEXT(Tabela2[[#This Row],[Data]],"mmm")))</f>
        <v/>
      </c>
      <c r="C195" s="1" t="str">
        <f>IF(Tabela2[[#This Row],[Data]]="","",PROPER(TEXT(Tabela2[[#This Row],[Data]],"ddd")))</f>
        <v/>
      </c>
      <c r="D195" s="9"/>
      <c r="E195" s="9"/>
      <c r="F195" s="9"/>
      <c r="G195" s="11"/>
      <c r="H195" s="9"/>
      <c r="I195" s="22"/>
      <c r="J195" s="24"/>
      <c r="K19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95" s="22"/>
    </row>
    <row r="196" spans="1:12" x14ac:dyDescent="0.25">
      <c r="A196" s="8"/>
      <c r="B196" s="1" t="str">
        <f>IF(Tabela2[[#This Row],[Data]]="","",PROPER(TEXT(Tabela2[[#This Row],[Data]],"mmm")))</f>
        <v/>
      </c>
      <c r="C196" s="1" t="str">
        <f>IF(Tabela2[[#This Row],[Data]]="","",PROPER(TEXT(Tabela2[[#This Row],[Data]],"ddd")))</f>
        <v/>
      </c>
      <c r="D196" s="9"/>
      <c r="E196" s="9"/>
      <c r="F196" s="9"/>
      <c r="G196" s="10"/>
      <c r="H196" s="9"/>
      <c r="I196" s="22"/>
      <c r="J196" s="24"/>
      <c r="K19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96" s="22"/>
    </row>
    <row r="197" spans="1:12" x14ac:dyDescent="0.25">
      <c r="A197" s="8"/>
      <c r="B197" s="1" t="str">
        <f>IF(Tabela2[[#This Row],[Data]]="","",PROPER(TEXT(Tabela2[[#This Row],[Data]],"mmm")))</f>
        <v/>
      </c>
      <c r="C197" s="1" t="str">
        <f>IF(Tabela2[[#This Row],[Data]]="","",PROPER(TEXT(Tabela2[[#This Row],[Data]],"ddd")))</f>
        <v/>
      </c>
      <c r="D197" s="9"/>
      <c r="E197" s="9"/>
      <c r="F197" s="9"/>
      <c r="G197" s="11"/>
      <c r="H197" s="9"/>
      <c r="I197" s="22"/>
      <c r="J197" s="24"/>
      <c r="K19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97" s="22"/>
    </row>
    <row r="198" spans="1:12" x14ac:dyDescent="0.25">
      <c r="A198" s="8"/>
      <c r="B198" s="1" t="str">
        <f>IF(Tabela2[[#This Row],[Data]]="","",PROPER(TEXT(Tabela2[[#This Row],[Data]],"mmm")))</f>
        <v/>
      </c>
      <c r="C198" s="1" t="str">
        <f>IF(Tabela2[[#This Row],[Data]]="","",PROPER(TEXT(Tabela2[[#This Row],[Data]],"ddd")))</f>
        <v/>
      </c>
      <c r="D198" s="9"/>
      <c r="E198" s="9"/>
      <c r="F198" s="9"/>
      <c r="G198" s="11"/>
      <c r="H198" s="9"/>
      <c r="I198" s="22"/>
      <c r="J198" s="24"/>
      <c r="K19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98" s="22"/>
    </row>
    <row r="199" spans="1:12" x14ac:dyDescent="0.25">
      <c r="A199" s="8"/>
      <c r="B199" s="1" t="str">
        <f>IF(Tabela2[[#This Row],[Data]]="","",PROPER(TEXT(Tabela2[[#This Row],[Data]],"mmm")))</f>
        <v/>
      </c>
      <c r="C199" s="1" t="str">
        <f>IF(Tabela2[[#This Row],[Data]]="","",PROPER(TEXT(Tabela2[[#This Row],[Data]],"ddd")))</f>
        <v/>
      </c>
      <c r="D199" s="9"/>
      <c r="E199" s="9"/>
      <c r="F199" s="9"/>
      <c r="G199" s="11"/>
      <c r="H199" s="9"/>
      <c r="I199" s="22"/>
      <c r="J199" s="24"/>
      <c r="K19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199" s="22"/>
    </row>
    <row r="200" spans="1:12" x14ac:dyDescent="0.25">
      <c r="A200" s="8"/>
      <c r="B200" s="1" t="str">
        <f>IF(Tabela2[[#This Row],[Data]]="","",PROPER(TEXT(Tabela2[[#This Row],[Data]],"mmm")))</f>
        <v/>
      </c>
      <c r="C200" s="1" t="str">
        <f>IF(Tabela2[[#This Row],[Data]]="","",PROPER(TEXT(Tabela2[[#This Row],[Data]],"ddd")))</f>
        <v/>
      </c>
      <c r="D200" s="9"/>
      <c r="E200" s="9"/>
      <c r="F200" s="9"/>
      <c r="G200" s="11"/>
      <c r="H200" s="9"/>
      <c r="I200" s="22"/>
      <c r="J200" s="24"/>
      <c r="K20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00" s="22"/>
    </row>
    <row r="201" spans="1:12" x14ac:dyDescent="0.25">
      <c r="A201" s="8"/>
      <c r="B201" s="1" t="str">
        <f>IF(Tabela2[[#This Row],[Data]]="","",PROPER(TEXT(Tabela2[[#This Row],[Data]],"mmm")))</f>
        <v/>
      </c>
      <c r="C201" s="1" t="str">
        <f>IF(Tabela2[[#This Row],[Data]]="","",PROPER(TEXT(Tabela2[[#This Row],[Data]],"ddd")))</f>
        <v/>
      </c>
      <c r="D201" s="9"/>
      <c r="E201" s="9"/>
      <c r="F201" s="9"/>
      <c r="G201" s="11"/>
      <c r="H201" s="9"/>
      <c r="I201" s="22"/>
      <c r="J201" s="24"/>
      <c r="K20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01" s="22"/>
    </row>
    <row r="202" spans="1:12" x14ac:dyDescent="0.25">
      <c r="A202" s="8"/>
      <c r="B202" s="1" t="str">
        <f>IF(Tabela2[[#This Row],[Data]]="","",PROPER(TEXT(Tabela2[[#This Row],[Data]],"mmm")))</f>
        <v/>
      </c>
      <c r="C202" s="1" t="str">
        <f>IF(Tabela2[[#This Row],[Data]]="","",PROPER(TEXT(Tabela2[[#This Row],[Data]],"ddd")))</f>
        <v/>
      </c>
      <c r="D202" s="9"/>
      <c r="E202" s="9"/>
      <c r="F202" s="9"/>
      <c r="G202" s="10"/>
      <c r="H202" s="9"/>
      <c r="I202" s="22"/>
      <c r="J202" s="24"/>
      <c r="K20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02" s="22"/>
    </row>
    <row r="203" spans="1:12" x14ac:dyDescent="0.25">
      <c r="A203" s="8"/>
      <c r="B203" s="1" t="str">
        <f>IF(Tabela2[[#This Row],[Data]]="","",PROPER(TEXT(Tabela2[[#This Row],[Data]],"mmm")))</f>
        <v/>
      </c>
      <c r="C203" s="1" t="str">
        <f>IF(Tabela2[[#This Row],[Data]]="","",PROPER(TEXT(Tabela2[[#This Row],[Data]],"ddd")))</f>
        <v/>
      </c>
      <c r="D203" s="9"/>
      <c r="E203" s="9"/>
      <c r="F203" s="9"/>
      <c r="G203" s="11"/>
      <c r="H203" s="9"/>
      <c r="I203" s="22"/>
      <c r="J203" s="24"/>
      <c r="K20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03" s="22"/>
    </row>
    <row r="204" spans="1:12" x14ac:dyDescent="0.25">
      <c r="A204" s="8"/>
      <c r="B204" s="1" t="str">
        <f>IF(Tabela2[[#This Row],[Data]]="","",PROPER(TEXT(Tabela2[[#This Row],[Data]],"mmm")))</f>
        <v/>
      </c>
      <c r="C204" s="1" t="str">
        <f>IF(Tabela2[[#This Row],[Data]]="","",PROPER(TEXT(Tabela2[[#This Row],[Data]],"ddd")))</f>
        <v/>
      </c>
      <c r="D204" s="9"/>
      <c r="E204" s="9"/>
      <c r="F204" s="9"/>
      <c r="G204" s="11"/>
      <c r="H204" s="9"/>
      <c r="I204" s="22"/>
      <c r="J204" s="24"/>
      <c r="K20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04" s="22"/>
    </row>
    <row r="205" spans="1:12" x14ac:dyDescent="0.25">
      <c r="A205" s="8"/>
      <c r="B205" s="1" t="str">
        <f>IF(Tabela2[[#This Row],[Data]]="","",PROPER(TEXT(Tabela2[[#This Row],[Data]],"mmm")))</f>
        <v/>
      </c>
      <c r="C205" s="1" t="str">
        <f>IF(Tabela2[[#This Row],[Data]]="","",PROPER(TEXT(Tabela2[[#This Row],[Data]],"ddd")))</f>
        <v/>
      </c>
      <c r="D205" s="9"/>
      <c r="E205" s="9"/>
      <c r="F205" s="9"/>
      <c r="G205" s="11"/>
      <c r="H205" s="9"/>
      <c r="I205" s="22"/>
      <c r="J205" s="24"/>
      <c r="K20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05" s="22"/>
    </row>
    <row r="206" spans="1:12" x14ac:dyDescent="0.25">
      <c r="A206" s="8"/>
      <c r="B206" s="1" t="str">
        <f>IF(Tabela2[[#This Row],[Data]]="","",PROPER(TEXT(Tabela2[[#This Row],[Data]],"mmm")))</f>
        <v/>
      </c>
      <c r="C206" s="1" t="str">
        <f>IF(Tabela2[[#This Row],[Data]]="","",PROPER(TEXT(Tabela2[[#This Row],[Data]],"ddd")))</f>
        <v/>
      </c>
      <c r="D206" s="9"/>
      <c r="E206" s="9"/>
      <c r="F206" s="9"/>
      <c r="G206" s="11"/>
      <c r="H206" s="9"/>
      <c r="I206" s="22"/>
      <c r="J206" s="24"/>
      <c r="K20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06" s="22"/>
    </row>
    <row r="207" spans="1:12" x14ac:dyDescent="0.25">
      <c r="A207" s="8"/>
      <c r="B207" s="1" t="str">
        <f>IF(Tabela2[[#This Row],[Data]]="","",PROPER(TEXT(Tabela2[[#This Row],[Data]],"mmm")))</f>
        <v/>
      </c>
      <c r="C207" s="1" t="str">
        <f>IF(Tabela2[[#This Row],[Data]]="","",PROPER(TEXT(Tabela2[[#This Row],[Data]],"ddd")))</f>
        <v/>
      </c>
      <c r="D207" s="9"/>
      <c r="E207" s="9"/>
      <c r="F207" s="9"/>
      <c r="G207" s="11"/>
      <c r="H207" s="9"/>
      <c r="I207" s="22"/>
      <c r="J207" s="24"/>
      <c r="K20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07" s="22"/>
    </row>
    <row r="208" spans="1:12" x14ac:dyDescent="0.25">
      <c r="A208" s="8"/>
      <c r="B208" s="1" t="str">
        <f>IF(Tabela2[[#This Row],[Data]]="","",PROPER(TEXT(Tabela2[[#This Row],[Data]],"mmm")))</f>
        <v/>
      </c>
      <c r="C208" s="1" t="str">
        <f>IF(Tabela2[[#This Row],[Data]]="","",PROPER(TEXT(Tabela2[[#This Row],[Data]],"ddd")))</f>
        <v/>
      </c>
      <c r="D208" s="9"/>
      <c r="E208" s="9"/>
      <c r="F208" s="9"/>
      <c r="G208" s="10"/>
      <c r="H208" s="9"/>
      <c r="I208" s="22"/>
      <c r="J208" s="24"/>
      <c r="K20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08" s="22"/>
    </row>
    <row r="209" spans="1:12" x14ac:dyDescent="0.25">
      <c r="A209" s="8"/>
      <c r="B209" s="1" t="str">
        <f>IF(Tabela2[[#This Row],[Data]]="","",PROPER(TEXT(Tabela2[[#This Row],[Data]],"mmm")))</f>
        <v/>
      </c>
      <c r="C209" s="1" t="str">
        <f>IF(Tabela2[[#This Row],[Data]]="","",PROPER(TEXT(Tabela2[[#This Row],[Data]],"ddd")))</f>
        <v/>
      </c>
      <c r="D209" s="9"/>
      <c r="E209" s="9"/>
      <c r="F209" s="9"/>
      <c r="G209" s="11"/>
      <c r="H209" s="9"/>
      <c r="I209" s="22"/>
      <c r="J209" s="24"/>
      <c r="K20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09" s="22"/>
    </row>
    <row r="210" spans="1:12" x14ac:dyDescent="0.25">
      <c r="A210" s="8"/>
      <c r="B210" s="1" t="str">
        <f>IF(Tabela2[[#This Row],[Data]]="","",PROPER(TEXT(Tabela2[[#This Row],[Data]],"mmm")))</f>
        <v/>
      </c>
      <c r="C210" s="1" t="str">
        <f>IF(Tabela2[[#This Row],[Data]]="","",PROPER(TEXT(Tabela2[[#This Row],[Data]],"ddd")))</f>
        <v/>
      </c>
      <c r="D210" s="9"/>
      <c r="E210" s="9"/>
      <c r="F210" s="9"/>
      <c r="G210" s="11"/>
      <c r="H210" s="9"/>
      <c r="I210" s="22"/>
      <c r="J210" s="24"/>
      <c r="K21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10" s="22"/>
    </row>
    <row r="211" spans="1:12" x14ac:dyDescent="0.25">
      <c r="A211" s="8"/>
      <c r="B211" s="1" t="str">
        <f>IF(Tabela2[[#This Row],[Data]]="","",PROPER(TEXT(Tabela2[[#This Row],[Data]],"mmm")))</f>
        <v/>
      </c>
      <c r="C211" s="1" t="str">
        <f>IF(Tabela2[[#This Row],[Data]]="","",PROPER(TEXT(Tabela2[[#This Row],[Data]],"ddd")))</f>
        <v/>
      </c>
      <c r="D211" s="9"/>
      <c r="E211" s="9"/>
      <c r="F211" s="9"/>
      <c r="G211" s="11"/>
      <c r="H211" s="9"/>
      <c r="I211" s="22"/>
      <c r="J211" s="24"/>
      <c r="K21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11" s="22"/>
    </row>
    <row r="212" spans="1:12" x14ac:dyDescent="0.25">
      <c r="A212" s="8"/>
      <c r="B212" s="1" t="str">
        <f>IF(Tabela2[[#This Row],[Data]]="","",PROPER(TEXT(Tabela2[[#This Row],[Data]],"mmm")))</f>
        <v/>
      </c>
      <c r="C212" s="1" t="str">
        <f>IF(Tabela2[[#This Row],[Data]]="","",PROPER(TEXT(Tabela2[[#This Row],[Data]],"ddd")))</f>
        <v/>
      </c>
      <c r="D212" s="9"/>
      <c r="E212" s="9"/>
      <c r="F212" s="9"/>
      <c r="G212" s="11"/>
      <c r="H212" s="9"/>
      <c r="I212" s="22"/>
      <c r="J212" s="24"/>
      <c r="K21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12" s="22"/>
    </row>
    <row r="213" spans="1:12" x14ac:dyDescent="0.25">
      <c r="A213" s="8"/>
      <c r="B213" s="1" t="str">
        <f>IF(Tabela2[[#This Row],[Data]]="","",PROPER(TEXT(Tabela2[[#This Row],[Data]],"mmm")))</f>
        <v/>
      </c>
      <c r="C213" s="1" t="str">
        <f>IF(Tabela2[[#This Row],[Data]]="","",PROPER(TEXT(Tabela2[[#This Row],[Data]],"ddd")))</f>
        <v/>
      </c>
      <c r="D213" s="9"/>
      <c r="E213" s="9"/>
      <c r="F213" s="9"/>
      <c r="G213" s="11"/>
      <c r="H213" s="9"/>
      <c r="I213" s="22"/>
      <c r="J213" s="24"/>
      <c r="K21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13" s="22"/>
    </row>
    <row r="214" spans="1:12" x14ac:dyDescent="0.25">
      <c r="A214" s="8"/>
      <c r="B214" s="1" t="str">
        <f>IF(Tabela2[[#This Row],[Data]]="","",PROPER(TEXT(Tabela2[[#This Row],[Data]],"mmm")))</f>
        <v/>
      </c>
      <c r="C214" s="1" t="str">
        <f>IF(Tabela2[[#This Row],[Data]]="","",PROPER(TEXT(Tabela2[[#This Row],[Data]],"ddd")))</f>
        <v/>
      </c>
      <c r="D214" s="9"/>
      <c r="E214" s="9"/>
      <c r="F214" s="9"/>
      <c r="G214" s="10"/>
      <c r="H214" s="9"/>
      <c r="I214" s="22"/>
      <c r="J214" s="24"/>
      <c r="K21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14" s="22"/>
    </row>
    <row r="215" spans="1:12" x14ac:dyDescent="0.25">
      <c r="A215" s="8"/>
      <c r="B215" s="1" t="str">
        <f>IF(Tabela2[[#This Row],[Data]]="","",PROPER(TEXT(Tabela2[[#This Row],[Data]],"mmm")))</f>
        <v/>
      </c>
      <c r="C215" s="1" t="str">
        <f>IF(Tabela2[[#This Row],[Data]]="","",PROPER(TEXT(Tabela2[[#This Row],[Data]],"ddd")))</f>
        <v/>
      </c>
      <c r="D215" s="9"/>
      <c r="E215" s="9"/>
      <c r="F215" s="9"/>
      <c r="G215" s="11"/>
      <c r="H215" s="9"/>
      <c r="I215" s="22"/>
      <c r="J215" s="24"/>
      <c r="K21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15" s="22"/>
    </row>
    <row r="216" spans="1:12" x14ac:dyDescent="0.25">
      <c r="A216" s="8"/>
      <c r="B216" s="1" t="str">
        <f>IF(Tabela2[[#This Row],[Data]]="","",PROPER(TEXT(Tabela2[[#This Row],[Data]],"mmm")))</f>
        <v/>
      </c>
      <c r="C216" s="1" t="str">
        <f>IF(Tabela2[[#This Row],[Data]]="","",PROPER(TEXT(Tabela2[[#This Row],[Data]],"ddd")))</f>
        <v/>
      </c>
      <c r="D216" s="9"/>
      <c r="E216" s="9"/>
      <c r="F216" s="9"/>
      <c r="G216" s="11"/>
      <c r="H216" s="9"/>
      <c r="I216" s="22"/>
      <c r="J216" s="24"/>
      <c r="K21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16" s="22"/>
    </row>
    <row r="217" spans="1:12" x14ac:dyDescent="0.25">
      <c r="A217" s="8"/>
      <c r="B217" s="1" t="str">
        <f>IF(Tabela2[[#This Row],[Data]]="","",PROPER(TEXT(Tabela2[[#This Row],[Data]],"mmm")))</f>
        <v/>
      </c>
      <c r="C217" s="1" t="str">
        <f>IF(Tabela2[[#This Row],[Data]]="","",PROPER(TEXT(Tabela2[[#This Row],[Data]],"ddd")))</f>
        <v/>
      </c>
      <c r="D217" s="9"/>
      <c r="E217" s="9"/>
      <c r="F217" s="9"/>
      <c r="G217" s="11"/>
      <c r="H217" s="9"/>
      <c r="I217" s="22"/>
      <c r="J217" s="24"/>
      <c r="K21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17" s="22"/>
    </row>
    <row r="218" spans="1:12" x14ac:dyDescent="0.25">
      <c r="A218" s="8"/>
      <c r="B218" s="1" t="str">
        <f>IF(Tabela2[[#This Row],[Data]]="","",PROPER(TEXT(Tabela2[[#This Row],[Data]],"mmm")))</f>
        <v/>
      </c>
      <c r="C218" s="1" t="str">
        <f>IF(Tabela2[[#This Row],[Data]]="","",PROPER(TEXT(Tabela2[[#This Row],[Data]],"ddd")))</f>
        <v/>
      </c>
      <c r="D218" s="9"/>
      <c r="E218" s="9"/>
      <c r="F218" s="9"/>
      <c r="G218" s="11"/>
      <c r="H218" s="9"/>
      <c r="I218" s="22"/>
      <c r="J218" s="24"/>
      <c r="K21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18" s="22"/>
    </row>
    <row r="219" spans="1:12" x14ac:dyDescent="0.25">
      <c r="A219" s="8"/>
      <c r="B219" s="1" t="str">
        <f>IF(Tabela2[[#This Row],[Data]]="","",PROPER(TEXT(Tabela2[[#This Row],[Data]],"mmm")))</f>
        <v/>
      </c>
      <c r="C219" s="1" t="str">
        <f>IF(Tabela2[[#This Row],[Data]]="","",PROPER(TEXT(Tabela2[[#This Row],[Data]],"ddd")))</f>
        <v/>
      </c>
      <c r="D219" s="9"/>
      <c r="E219" s="9"/>
      <c r="F219" s="9"/>
      <c r="G219" s="11"/>
      <c r="H219" s="9"/>
      <c r="I219" s="22"/>
      <c r="J219" s="24"/>
      <c r="K21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19" s="22"/>
    </row>
    <row r="220" spans="1:12" x14ac:dyDescent="0.25">
      <c r="A220" s="8"/>
      <c r="B220" s="1" t="str">
        <f>IF(Tabela2[[#This Row],[Data]]="","",PROPER(TEXT(Tabela2[[#This Row],[Data]],"mmm")))</f>
        <v/>
      </c>
      <c r="C220" s="1" t="str">
        <f>IF(Tabela2[[#This Row],[Data]]="","",PROPER(TEXT(Tabela2[[#This Row],[Data]],"ddd")))</f>
        <v/>
      </c>
      <c r="D220" s="9"/>
      <c r="E220" s="9"/>
      <c r="F220" s="9"/>
      <c r="G220" s="10"/>
      <c r="H220" s="9"/>
      <c r="I220" s="22"/>
      <c r="J220" s="24"/>
      <c r="K22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20" s="22"/>
    </row>
    <row r="221" spans="1:12" x14ac:dyDescent="0.25">
      <c r="A221" s="8"/>
      <c r="B221" s="1" t="str">
        <f>IF(Tabela2[[#This Row],[Data]]="","",PROPER(TEXT(Tabela2[[#This Row],[Data]],"mmm")))</f>
        <v/>
      </c>
      <c r="C221" s="1" t="str">
        <f>IF(Tabela2[[#This Row],[Data]]="","",PROPER(TEXT(Tabela2[[#This Row],[Data]],"ddd")))</f>
        <v/>
      </c>
      <c r="D221" s="9"/>
      <c r="E221" s="9"/>
      <c r="F221" s="9"/>
      <c r="G221" s="11"/>
      <c r="H221" s="9"/>
      <c r="I221" s="22"/>
      <c r="J221" s="24"/>
      <c r="K22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21" s="22"/>
    </row>
    <row r="222" spans="1:12" x14ac:dyDescent="0.25">
      <c r="A222" s="8"/>
      <c r="B222" s="1" t="str">
        <f>IF(Tabela2[[#This Row],[Data]]="","",PROPER(TEXT(Tabela2[[#This Row],[Data]],"mmm")))</f>
        <v/>
      </c>
      <c r="C222" s="1" t="str">
        <f>IF(Tabela2[[#This Row],[Data]]="","",PROPER(TEXT(Tabela2[[#This Row],[Data]],"ddd")))</f>
        <v/>
      </c>
      <c r="D222" s="9"/>
      <c r="E222" s="9"/>
      <c r="F222" s="9"/>
      <c r="G222" s="11"/>
      <c r="H222" s="9"/>
      <c r="I222" s="22"/>
      <c r="J222" s="24"/>
      <c r="K22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22" s="22"/>
    </row>
    <row r="223" spans="1:12" x14ac:dyDescent="0.25">
      <c r="A223" s="8"/>
      <c r="B223" s="1" t="str">
        <f>IF(Tabela2[[#This Row],[Data]]="","",PROPER(TEXT(Tabela2[[#This Row],[Data]],"mmm")))</f>
        <v/>
      </c>
      <c r="C223" s="1" t="str">
        <f>IF(Tabela2[[#This Row],[Data]]="","",PROPER(TEXT(Tabela2[[#This Row],[Data]],"ddd")))</f>
        <v/>
      </c>
      <c r="D223" s="9"/>
      <c r="E223" s="9"/>
      <c r="F223" s="9"/>
      <c r="G223" s="11"/>
      <c r="H223" s="9"/>
      <c r="I223" s="22"/>
      <c r="J223" s="24"/>
      <c r="K22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23" s="22"/>
    </row>
    <row r="224" spans="1:12" x14ac:dyDescent="0.25">
      <c r="A224" s="8"/>
      <c r="B224" s="1" t="str">
        <f>IF(Tabela2[[#This Row],[Data]]="","",PROPER(TEXT(Tabela2[[#This Row],[Data]],"mmm")))</f>
        <v/>
      </c>
      <c r="C224" s="1" t="str">
        <f>IF(Tabela2[[#This Row],[Data]]="","",PROPER(TEXT(Tabela2[[#This Row],[Data]],"ddd")))</f>
        <v/>
      </c>
      <c r="D224" s="9"/>
      <c r="E224" s="9"/>
      <c r="F224" s="9"/>
      <c r="G224" s="11"/>
      <c r="H224" s="9"/>
      <c r="I224" s="22"/>
      <c r="J224" s="24"/>
      <c r="K22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24" s="22"/>
    </row>
    <row r="225" spans="1:12" x14ac:dyDescent="0.25">
      <c r="A225" s="8"/>
      <c r="B225" s="1" t="str">
        <f>IF(Tabela2[[#This Row],[Data]]="","",PROPER(TEXT(Tabela2[[#This Row],[Data]],"mmm")))</f>
        <v/>
      </c>
      <c r="C225" s="1" t="str">
        <f>IF(Tabela2[[#This Row],[Data]]="","",PROPER(TEXT(Tabela2[[#This Row],[Data]],"ddd")))</f>
        <v/>
      </c>
      <c r="D225" s="9"/>
      <c r="E225" s="9"/>
      <c r="F225" s="9"/>
      <c r="G225" s="11"/>
      <c r="H225" s="9"/>
      <c r="I225" s="22"/>
      <c r="J225" s="24"/>
      <c r="K22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25" s="22"/>
    </row>
    <row r="226" spans="1:12" x14ac:dyDescent="0.25">
      <c r="A226" s="8"/>
      <c r="B226" s="1" t="str">
        <f>IF(Tabela2[[#This Row],[Data]]="","",PROPER(TEXT(Tabela2[[#This Row],[Data]],"mmm")))</f>
        <v/>
      </c>
      <c r="C226" s="1" t="str">
        <f>IF(Tabela2[[#This Row],[Data]]="","",PROPER(TEXT(Tabela2[[#This Row],[Data]],"ddd")))</f>
        <v/>
      </c>
      <c r="D226" s="9"/>
      <c r="E226" s="9"/>
      <c r="F226" s="9"/>
      <c r="G226" s="10"/>
      <c r="H226" s="9"/>
      <c r="I226" s="22"/>
      <c r="J226" s="24"/>
      <c r="K22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26" s="22"/>
    </row>
    <row r="227" spans="1:12" x14ac:dyDescent="0.25">
      <c r="A227" s="8"/>
      <c r="B227" s="1" t="str">
        <f>IF(Tabela2[[#This Row],[Data]]="","",PROPER(TEXT(Tabela2[[#This Row],[Data]],"mmm")))</f>
        <v/>
      </c>
      <c r="C227" s="1" t="str">
        <f>IF(Tabela2[[#This Row],[Data]]="","",PROPER(TEXT(Tabela2[[#This Row],[Data]],"ddd")))</f>
        <v/>
      </c>
      <c r="D227" s="9"/>
      <c r="E227" s="9"/>
      <c r="F227" s="9"/>
      <c r="G227" s="11"/>
      <c r="H227" s="9"/>
      <c r="I227" s="22"/>
      <c r="J227" s="24"/>
      <c r="K22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27" s="22"/>
    </row>
    <row r="228" spans="1:12" x14ac:dyDescent="0.25">
      <c r="A228" s="8"/>
      <c r="B228" s="1" t="str">
        <f>IF(Tabela2[[#This Row],[Data]]="","",PROPER(TEXT(Tabela2[[#This Row],[Data]],"mmm")))</f>
        <v/>
      </c>
      <c r="C228" s="1" t="str">
        <f>IF(Tabela2[[#This Row],[Data]]="","",PROPER(TEXT(Tabela2[[#This Row],[Data]],"ddd")))</f>
        <v/>
      </c>
      <c r="D228" s="9"/>
      <c r="E228" s="9"/>
      <c r="F228" s="9"/>
      <c r="G228" s="11"/>
      <c r="H228" s="9"/>
      <c r="I228" s="22"/>
      <c r="J228" s="24"/>
      <c r="K22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28" s="22"/>
    </row>
    <row r="229" spans="1:12" x14ac:dyDescent="0.25">
      <c r="A229" s="8"/>
      <c r="B229" s="1" t="str">
        <f>IF(Tabela2[[#This Row],[Data]]="","",PROPER(TEXT(Tabela2[[#This Row],[Data]],"mmm")))</f>
        <v/>
      </c>
      <c r="C229" s="1" t="str">
        <f>IF(Tabela2[[#This Row],[Data]]="","",PROPER(TEXT(Tabela2[[#This Row],[Data]],"ddd")))</f>
        <v/>
      </c>
      <c r="D229" s="9"/>
      <c r="E229" s="9"/>
      <c r="F229" s="9"/>
      <c r="G229" s="11"/>
      <c r="H229" s="9"/>
      <c r="I229" s="22"/>
      <c r="J229" s="24"/>
      <c r="K22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29" s="22"/>
    </row>
    <row r="230" spans="1:12" x14ac:dyDescent="0.25">
      <c r="A230" s="8"/>
      <c r="B230" s="1" t="str">
        <f>IF(Tabela2[[#This Row],[Data]]="","",PROPER(TEXT(Tabela2[[#This Row],[Data]],"mmm")))</f>
        <v/>
      </c>
      <c r="C230" s="1" t="str">
        <f>IF(Tabela2[[#This Row],[Data]]="","",PROPER(TEXT(Tabela2[[#This Row],[Data]],"ddd")))</f>
        <v/>
      </c>
      <c r="D230" s="9"/>
      <c r="E230" s="9"/>
      <c r="F230" s="9"/>
      <c r="G230" s="11"/>
      <c r="H230" s="9"/>
      <c r="I230" s="22"/>
      <c r="J230" s="24"/>
      <c r="K23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30" s="22"/>
    </row>
    <row r="231" spans="1:12" x14ac:dyDescent="0.25">
      <c r="A231" s="8"/>
      <c r="B231" s="1" t="str">
        <f>IF(Tabela2[[#This Row],[Data]]="","",PROPER(TEXT(Tabela2[[#This Row],[Data]],"mmm")))</f>
        <v/>
      </c>
      <c r="C231" s="1" t="str">
        <f>IF(Tabela2[[#This Row],[Data]]="","",PROPER(TEXT(Tabela2[[#This Row],[Data]],"ddd")))</f>
        <v/>
      </c>
      <c r="D231" s="9"/>
      <c r="E231" s="9"/>
      <c r="F231" s="9"/>
      <c r="G231" s="11"/>
      <c r="H231" s="9"/>
      <c r="I231" s="22"/>
      <c r="J231" s="24"/>
      <c r="K23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31" s="22"/>
    </row>
    <row r="232" spans="1:12" x14ac:dyDescent="0.25">
      <c r="A232" s="8"/>
      <c r="B232" s="1" t="str">
        <f>IF(Tabela2[[#This Row],[Data]]="","",PROPER(TEXT(Tabela2[[#This Row],[Data]],"mmm")))</f>
        <v/>
      </c>
      <c r="C232" s="1" t="str">
        <f>IF(Tabela2[[#This Row],[Data]]="","",PROPER(TEXT(Tabela2[[#This Row],[Data]],"ddd")))</f>
        <v/>
      </c>
      <c r="D232" s="9"/>
      <c r="E232" s="9"/>
      <c r="F232" s="9"/>
      <c r="G232" s="10"/>
      <c r="H232" s="9"/>
      <c r="I232" s="22"/>
      <c r="J232" s="24"/>
      <c r="K23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32" s="22"/>
    </row>
    <row r="233" spans="1:12" x14ac:dyDescent="0.25">
      <c r="A233" s="8"/>
      <c r="B233" s="1" t="str">
        <f>IF(Tabela2[[#This Row],[Data]]="","",PROPER(TEXT(Tabela2[[#This Row],[Data]],"mmm")))</f>
        <v/>
      </c>
      <c r="C233" s="1" t="str">
        <f>IF(Tabela2[[#This Row],[Data]]="","",PROPER(TEXT(Tabela2[[#This Row],[Data]],"ddd")))</f>
        <v/>
      </c>
      <c r="D233" s="9"/>
      <c r="E233" s="9"/>
      <c r="F233" s="9"/>
      <c r="G233" s="11"/>
      <c r="H233" s="9"/>
      <c r="I233" s="22"/>
      <c r="J233" s="24"/>
      <c r="K23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33" s="22"/>
    </row>
    <row r="234" spans="1:12" x14ac:dyDescent="0.25">
      <c r="A234" s="8"/>
      <c r="B234" s="1" t="str">
        <f>IF(Tabela2[[#This Row],[Data]]="","",PROPER(TEXT(Tabela2[[#This Row],[Data]],"mmm")))</f>
        <v/>
      </c>
      <c r="C234" s="1" t="str">
        <f>IF(Tabela2[[#This Row],[Data]]="","",PROPER(TEXT(Tabela2[[#This Row],[Data]],"ddd")))</f>
        <v/>
      </c>
      <c r="D234" s="9"/>
      <c r="E234" s="9"/>
      <c r="F234" s="9"/>
      <c r="G234" s="11"/>
      <c r="H234" s="9"/>
      <c r="I234" s="22"/>
      <c r="J234" s="24"/>
      <c r="K23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34" s="22"/>
    </row>
    <row r="235" spans="1:12" x14ac:dyDescent="0.25">
      <c r="A235" s="8"/>
      <c r="B235" s="1" t="str">
        <f>IF(Tabela2[[#This Row],[Data]]="","",PROPER(TEXT(Tabela2[[#This Row],[Data]],"mmm")))</f>
        <v/>
      </c>
      <c r="C235" s="1" t="str">
        <f>IF(Tabela2[[#This Row],[Data]]="","",PROPER(TEXT(Tabela2[[#This Row],[Data]],"ddd")))</f>
        <v/>
      </c>
      <c r="D235" s="9"/>
      <c r="E235" s="9"/>
      <c r="F235" s="9"/>
      <c r="G235" s="11"/>
      <c r="H235" s="9"/>
      <c r="I235" s="22"/>
      <c r="J235" s="24"/>
      <c r="K23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35" s="22"/>
    </row>
    <row r="236" spans="1:12" x14ac:dyDescent="0.25">
      <c r="A236" s="8"/>
      <c r="B236" s="1" t="str">
        <f>IF(Tabela2[[#This Row],[Data]]="","",PROPER(TEXT(Tabela2[[#This Row],[Data]],"mmm")))</f>
        <v/>
      </c>
      <c r="C236" s="1" t="str">
        <f>IF(Tabela2[[#This Row],[Data]]="","",PROPER(TEXT(Tabela2[[#This Row],[Data]],"ddd")))</f>
        <v/>
      </c>
      <c r="D236" s="9"/>
      <c r="E236" s="9"/>
      <c r="F236" s="9"/>
      <c r="G236" s="11"/>
      <c r="H236" s="9"/>
      <c r="I236" s="22"/>
      <c r="J236" s="24"/>
      <c r="K23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36" s="22"/>
    </row>
    <row r="237" spans="1:12" x14ac:dyDescent="0.25">
      <c r="A237" s="8"/>
      <c r="B237" s="1" t="str">
        <f>IF(Tabela2[[#This Row],[Data]]="","",PROPER(TEXT(Tabela2[[#This Row],[Data]],"mmm")))</f>
        <v/>
      </c>
      <c r="C237" s="1" t="str">
        <f>IF(Tabela2[[#This Row],[Data]]="","",PROPER(TEXT(Tabela2[[#This Row],[Data]],"ddd")))</f>
        <v/>
      </c>
      <c r="D237" s="9"/>
      <c r="E237" s="9"/>
      <c r="F237" s="9"/>
      <c r="G237" s="11"/>
      <c r="H237" s="9"/>
      <c r="I237" s="22"/>
      <c r="J237" s="24"/>
      <c r="K23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37" s="22"/>
    </row>
    <row r="238" spans="1:12" x14ac:dyDescent="0.25">
      <c r="A238" s="8"/>
      <c r="B238" s="1" t="str">
        <f>IF(Tabela2[[#This Row],[Data]]="","",PROPER(TEXT(Tabela2[[#This Row],[Data]],"mmm")))</f>
        <v/>
      </c>
      <c r="C238" s="1" t="str">
        <f>IF(Tabela2[[#This Row],[Data]]="","",PROPER(TEXT(Tabela2[[#This Row],[Data]],"ddd")))</f>
        <v/>
      </c>
      <c r="D238" s="9"/>
      <c r="E238" s="9"/>
      <c r="F238" s="9"/>
      <c r="G238" s="10"/>
      <c r="H238" s="9"/>
      <c r="I238" s="22"/>
      <c r="J238" s="24"/>
      <c r="K23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38" s="22"/>
    </row>
    <row r="239" spans="1:12" x14ac:dyDescent="0.25">
      <c r="A239" s="8"/>
      <c r="B239" s="1" t="str">
        <f>IF(Tabela2[[#This Row],[Data]]="","",PROPER(TEXT(Tabela2[[#This Row],[Data]],"mmm")))</f>
        <v/>
      </c>
      <c r="C239" s="1" t="str">
        <f>IF(Tabela2[[#This Row],[Data]]="","",PROPER(TEXT(Tabela2[[#This Row],[Data]],"ddd")))</f>
        <v/>
      </c>
      <c r="D239" s="9"/>
      <c r="E239" s="9"/>
      <c r="F239" s="9"/>
      <c r="G239" s="11"/>
      <c r="H239" s="9"/>
      <c r="I239" s="22"/>
      <c r="J239" s="24"/>
      <c r="K23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39" s="22"/>
    </row>
    <row r="240" spans="1:12" x14ac:dyDescent="0.25">
      <c r="A240" s="8"/>
      <c r="B240" s="1" t="str">
        <f>IF(Tabela2[[#This Row],[Data]]="","",PROPER(TEXT(Tabela2[[#This Row],[Data]],"mmm")))</f>
        <v/>
      </c>
      <c r="C240" s="1" t="str">
        <f>IF(Tabela2[[#This Row],[Data]]="","",PROPER(TEXT(Tabela2[[#This Row],[Data]],"ddd")))</f>
        <v/>
      </c>
      <c r="D240" s="9"/>
      <c r="E240" s="9"/>
      <c r="F240" s="9"/>
      <c r="G240" s="11"/>
      <c r="H240" s="9"/>
      <c r="I240" s="22"/>
      <c r="J240" s="24"/>
      <c r="K24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40" s="22"/>
    </row>
    <row r="241" spans="1:12" x14ac:dyDescent="0.25">
      <c r="A241" s="8"/>
      <c r="B241" s="1" t="str">
        <f>IF(Tabela2[[#This Row],[Data]]="","",PROPER(TEXT(Tabela2[[#This Row],[Data]],"mmm")))</f>
        <v/>
      </c>
      <c r="C241" s="1" t="str">
        <f>IF(Tabela2[[#This Row],[Data]]="","",PROPER(TEXT(Tabela2[[#This Row],[Data]],"ddd")))</f>
        <v/>
      </c>
      <c r="D241" s="9"/>
      <c r="E241" s="9"/>
      <c r="F241" s="9"/>
      <c r="G241" s="11"/>
      <c r="H241" s="9"/>
      <c r="I241" s="22"/>
      <c r="J241" s="24"/>
      <c r="K24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41" s="22"/>
    </row>
    <row r="242" spans="1:12" x14ac:dyDescent="0.25">
      <c r="A242" s="8"/>
      <c r="B242" s="1" t="str">
        <f>IF(Tabela2[[#This Row],[Data]]="","",PROPER(TEXT(Tabela2[[#This Row],[Data]],"mmm")))</f>
        <v/>
      </c>
      <c r="C242" s="1" t="str">
        <f>IF(Tabela2[[#This Row],[Data]]="","",PROPER(TEXT(Tabela2[[#This Row],[Data]],"ddd")))</f>
        <v/>
      </c>
      <c r="D242" s="9"/>
      <c r="E242" s="9"/>
      <c r="F242" s="9"/>
      <c r="G242" s="11"/>
      <c r="H242" s="9"/>
      <c r="I242" s="22"/>
      <c r="J242" s="24"/>
      <c r="K24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42" s="22"/>
    </row>
    <row r="243" spans="1:12" x14ac:dyDescent="0.25">
      <c r="A243" s="8"/>
      <c r="B243" s="1" t="str">
        <f>IF(Tabela2[[#This Row],[Data]]="","",PROPER(TEXT(Tabela2[[#This Row],[Data]],"mmm")))</f>
        <v/>
      </c>
      <c r="C243" s="1" t="str">
        <f>IF(Tabela2[[#This Row],[Data]]="","",PROPER(TEXT(Tabela2[[#This Row],[Data]],"ddd")))</f>
        <v/>
      </c>
      <c r="D243" s="9"/>
      <c r="E243" s="9"/>
      <c r="F243" s="9"/>
      <c r="G243" s="11"/>
      <c r="H243" s="9"/>
      <c r="I243" s="22"/>
      <c r="J243" s="24"/>
      <c r="K24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43" s="22"/>
    </row>
    <row r="244" spans="1:12" x14ac:dyDescent="0.25">
      <c r="A244" s="8"/>
      <c r="B244" s="1" t="str">
        <f>IF(Tabela2[[#This Row],[Data]]="","",PROPER(TEXT(Tabela2[[#This Row],[Data]],"mmm")))</f>
        <v/>
      </c>
      <c r="C244" s="1" t="str">
        <f>IF(Tabela2[[#This Row],[Data]]="","",PROPER(TEXT(Tabela2[[#This Row],[Data]],"ddd")))</f>
        <v/>
      </c>
      <c r="D244" s="9"/>
      <c r="E244" s="9"/>
      <c r="F244" s="9"/>
      <c r="G244" s="10"/>
      <c r="H244" s="9"/>
      <c r="I244" s="22"/>
      <c r="J244" s="24"/>
      <c r="K24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44" s="22"/>
    </row>
    <row r="245" spans="1:12" x14ac:dyDescent="0.25">
      <c r="A245" s="8"/>
      <c r="B245" s="1" t="str">
        <f>IF(Tabela2[[#This Row],[Data]]="","",PROPER(TEXT(Tabela2[[#This Row],[Data]],"mmm")))</f>
        <v/>
      </c>
      <c r="C245" s="1" t="str">
        <f>IF(Tabela2[[#This Row],[Data]]="","",PROPER(TEXT(Tabela2[[#This Row],[Data]],"ddd")))</f>
        <v/>
      </c>
      <c r="D245" s="9"/>
      <c r="E245" s="9"/>
      <c r="F245" s="9"/>
      <c r="G245" s="11"/>
      <c r="H245" s="9"/>
      <c r="I245" s="22"/>
      <c r="J245" s="24"/>
      <c r="K24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45" s="22"/>
    </row>
    <row r="246" spans="1:12" x14ac:dyDescent="0.25">
      <c r="A246" s="8"/>
      <c r="B246" s="1" t="str">
        <f>IF(Tabela2[[#This Row],[Data]]="","",PROPER(TEXT(Tabela2[[#This Row],[Data]],"mmm")))</f>
        <v/>
      </c>
      <c r="C246" s="1" t="str">
        <f>IF(Tabela2[[#This Row],[Data]]="","",PROPER(TEXT(Tabela2[[#This Row],[Data]],"ddd")))</f>
        <v/>
      </c>
      <c r="D246" s="9"/>
      <c r="E246" s="9"/>
      <c r="F246" s="9"/>
      <c r="G246" s="11"/>
      <c r="H246" s="9"/>
      <c r="I246" s="22"/>
      <c r="J246" s="24"/>
      <c r="K24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46" s="22"/>
    </row>
    <row r="247" spans="1:12" x14ac:dyDescent="0.25">
      <c r="A247" s="8"/>
      <c r="B247" s="1" t="str">
        <f>IF(Tabela2[[#This Row],[Data]]="","",PROPER(TEXT(Tabela2[[#This Row],[Data]],"mmm")))</f>
        <v/>
      </c>
      <c r="C247" s="1" t="str">
        <f>IF(Tabela2[[#This Row],[Data]]="","",PROPER(TEXT(Tabela2[[#This Row],[Data]],"ddd")))</f>
        <v/>
      </c>
      <c r="D247" s="9"/>
      <c r="E247" s="9"/>
      <c r="F247" s="9"/>
      <c r="G247" s="11"/>
      <c r="H247" s="9"/>
      <c r="I247" s="22"/>
      <c r="J247" s="24"/>
      <c r="K24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47" s="22"/>
    </row>
    <row r="248" spans="1:12" x14ac:dyDescent="0.25">
      <c r="A248" s="8"/>
      <c r="B248" s="1" t="str">
        <f>IF(Tabela2[[#This Row],[Data]]="","",PROPER(TEXT(Tabela2[[#This Row],[Data]],"mmm")))</f>
        <v/>
      </c>
      <c r="C248" s="1" t="str">
        <f>IF(Tabela2[[#This Row],[Data]]="","",PROPER(TEXT(Tabela2[[#This Row],[Data]],"ddd")))</f>
        <v/>
      </c>
      <c r="D248" s="9"/>
      <c r="E248" s="9"/>
      <c r="F248" s="9"/>
      <c r="G248" s="11"/>
      <c r="H248" s="9"/>
      <c r="I248" s="22"/>
      <c r="J248" s="24"/>
      <c r="K24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48" s="22"/>
    </row>
    <row r="249" spans="1:12" x14ac:dyDescent="0.25">
      <c r="A249" s="8"/>
      <c r="B249" s="1" t="str">
        <f>IF(Tabela2[[#This Row],[Data]]="","",PROPER(TEXT(Tabela2[[#This Row],[Data]],"mmm")))</f>
        <v/>
      </c>
      <c r="C249" s="1" t="str">
        <f>IF(Tabela2[[#This Row],[Data]]="","",PROPER(TEXT(Tabela2[[#This Row],[Data]],"ddd")))</f>
        <v/>
      </c>
      <c r="D249" s="9"/>
      <c r="E249" s="9"/>
      <c r="F249" s="9"/>
      <c r="G249" s="11"/>
      <c r="H249" s="9"/>
      <c r="I249" s="22"/>
      <c r="J249" s="24"/>
      <c r="K24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49" s="22"/>
    </row>
    <row r="250" spans="1:12" x14ac:dyDescent="0.25">
      <c r="A250" s="8"/>
      <c r="B250" s="1" t="str">
        <f>IF(Tabela2[[#This Row],[Data]]="","",PROPER(TEXT(Tabela2[[#This Row],[Data]],"mmm")))</f>
        <v/>
      </c>
      <c r="C250" s="1" t="str">
        <f>IF(Tabela2[[#This Row],[Data]]="","",PROPER(TEXT(Tabela2[[#This Row],[Data]],"ddd")))</f>
        <v/>
      </c>
      <c r="D250" s="9"/>
      <c r="E250" s="9"/>
      <c r="F250" s="9"/>
      <c r="G250" s="10"/>
      <c r="H250" s="9"/>
      <c r="I250" s="22"/>
      <c r="J250" s="24"/>
      <c r="K25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50" s="22"/>
    </row>
    <row r="251" spans="1:12" x14ac:dyDescent="0.25">
      <c r="A251" s="8"/>
      <c r="B251" s="1" t="str">
        <f>IF(Tabela2[[#This Row],[Data]]="","",PROPER(TEXT(Tabela2[[#This Row],[Data]],"mmm")))</f>
        <v/>
      </c>
      <c r="C251" s="1" t="str">
        <f>IF(Tabela2[[#This Row],[Data]]="","",PROPER(TEXT(Tabela2[[#This Row],[Data]],"ddd")))</f>
        <v/>
      </c>
      <c r="D251" s="9"/>
      <c r="E251" s="9"/>
      <c r="F251" s="9"/>
      <c r="G251" s="11"/>
      <c r="H251" s="9"/>
      <c r="I251" s="22"/>
      <c r="J251" s="24"/>
      <c r="K25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51" s="22"/>
    </row>
    <row r="252" spans="1:12" x14ac:dyDescent="0.25">
      <c r="A252" s="8"/>
      <c r="B252" s="1" t="str">
        <f>IF(Tabela2[[#This Row],[Data]]="","",PROPER(TEXT(Tabela2[[#This Row],[Data]],"mmm")))</f>
        <v/>
      </c>
      <c r="C252" s="1" t="str">
        <f>IF(Tabela2[[#This Row],[Data]]="","",PROPER(TEXT(Tabela2[[#This Row],[Data]],"ddd")))</f>
        <v/>
      </c>
      <c r="D252" s="9"/>
      <c r="E252" s="9"/>
      <c r="F252" s="9"/>
      <c r="G252" s="11"/>
      <c r="H252" s="9"/>
      <c r="I252" s="22"/>
      <c r="J252" s="24"/>
      <c r="K25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52" s="22"/>
    </row>
    <row r="253" spans="1:12" x14ac:dyDescent="0.25">
      <c r="A253" s="8"/>
      <c r="B253" s="1" t="str">
        <f>IF(Tabela2[[#This Row],[Data]]="","",PROPER(TEXT(Tabela2[[#This Row],[Data]],"mmm")))</f>
        <v/>
      </c>
      <c r="C253" s="1" t="str">
        <f>IF(Tabela2[[#This Row],[Data]]="","",PROPER(TEXT(Tabela2[[#This Row],[Data]],"ddd")))</f>
        <v/>
      </c>
      <c r="D253" s="9"/>
      <c r="E253" s="9"/>
      <c r="F253" s="9"/>
      <c r="G253" s="11"/>
      <c r="H253" s="9"/>
      <c r="I253" s="22"/>
      <c r="J253" s="24"/>
      <c r="K25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53" s="22"/>
    </row>
    <row r="254" spans="1:12" x14ac:dyDescent="0.25">
      <c r="A254" s="8"/>
      <c r="B254" s="1" t="str">
        <f>IF(Tabela2[[#This Row],[Data]]="","",PROPER(TEXT(Tabela2[[#This Row],[Data]],"mmm")))</f>
        <v/>
      </c>
      <c r="C254" s="1" t="str">
        <f>IF(Tabela2[[#This Row],[Data]]="","",PROPER(TEXT(Tabela2[[#This Row],[Data]],"ddd")))</f>
        <v/>
      </c>
      <c r="D254" s="9"/>
      <c r="E254" s="9"/>
      <c r="F254" s="9"/>
      <c r="G254" s="11"/>
      <c r="H254" s="9"/>
      <c r="I254" s="22"/>
      <c r="J254" s="24"/>
      <c r="K25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54" s="22"/>
    </row>
    <row r="255" spans="1:12" x14ac:dyDescent="0.25">
      <c r="A255" s="8"/>
      <c r="B255" s="1" t="str">
        <f>IF(Tabela2[[#This Row],[Data]]="","",PROPER(TEXT(Tabela2[[#This Row],[Data]],"mmm")))</f>
        <v/>
      </c>
      <c r="C255" s="1" t="str">
        <f>IF(Tabela2[[#This Row],[Data]]="","",PROPER(TEXT(Tabela2[[#This Row],[Data]],"ddd")))</f>
        <v/>
      </c>
      <c r="D255" s="9"/>
      <c r="E255" s="9"/>
      <c r="F255" s="9"/>
      <c r="G255" s="11"/>
      <c r="H255" s="9"/>
      <c r="I255" s="22"/>
      <c r="J255" s="24"/>
      <c r="K25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55" s="22"/>
    </row>
    <row r="256" spans="1:12" x14ac:dyDescent="0.25">
      <c r="A256" s="8"/>
      <c r="B256" s="1" t="str">
        <f>IF(Tabela2[[#This Row],[Data]]="","",PROPER(TEXT(Tabela2[[#This Row],[Data]],"mmm")))</f>
        <v/>
      </c>
      <c r="C256" s="1" t="str">
        <f>IF(Tabela2[[#This Row],[Data]]="","",PROPER(TEXT(Tabela2[[#This Row],[Data]],"ddd")))</f>
        <v/>
      </c>
      <c r="D256" s="9"/>
      <c r="E256" s="9"/>
      <c r="F256" s="9"/>
      <c r="G256" s="10"/>
      <c r="H256" s="9"/>
      <c r="I256" s="22"/>
      <c r="J256" s="24"/>
      <c r="K25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56" s="22"/>
    </row>
    <row r="257" spans="1:12" x14ac:dyDescent="0.25">
      <c r="A257" s="8"/>
      <c r="B257" s="1" t="str">
        <f>IF(Tabela2[[#This Row],[Data]]="","",PROPER(TEXT(Tabela2[[#This Row],[Data]],"mmm")))</f>
        <v/>
      </c>
      <c r="C257" s="1" t="str">
        <f>IF(Tabela2[[#This Row],[Data]]="","",PROPER(TEXT(Tabela2[[#This Row],[Data]],"ddd")))</f>
        <v/>
      </c>
      <c r="D257" s="9"/>
      <c r="E257" s="9"/>
      <c r="F257" s="9"/>
      <c r="G257" s="11"/>
      <c r="H257" s="9"/>
      <c r="I257" s="22"/>
      <c r="J257" s="24"/>
      <c r="K25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57" s="22"/>
    </row>
    <row r="258" spans="1:12" x14ac:dyDescent="0.25">
      <c r="A258" s="8"/>
      <c r="B258" s="1" t="str">
        <f>IF(Tabela2[[#This Row],[Data]]="","",PROPER(TEXT(Tabela2[[#This Row],[Data]],"mmm")))</f>
        <v/>
      </c>
      <c r="C258" s="1" t="str">
        <f>IF(Tabela2[[#This Row],[Data]]="","",PROPER(TEXT(Tabela2[[#This Row],[Data]],"ddd")))</f>
        <v/>
      </c>
      <c r="D258" s="9"/>
      <c r="E258" s="9"/>
      <c r="F258" s="9"/>
      <c r="G258" s="11"/>
      <c r="H258" s="9"/>
      <c r="I258" s="22"/>
      <c r="J258" s="24"/>
      <c r="K25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58" s="22"/>
    </row>
    <row r="259" spans="1:12" x14ac:dyDescent="0.25">
      <c r="A259" s="8"/>
      <c r="B259" s="1" t="str">
        <f>IF(Tabela2[[#This Row],[Data]]="","",PROPER(TEXT(Tabela2[[#This Row],[Data]],"mmm")))</f>
        <v/>
      </c>
      <c r="C259" s="1" t="str">
        <f>IF(Tabela2[[#This Row],[Data]]="","",PROPER(TEXT(Tabela2[[#This Row],[Data]],"ddd")))</f>
        <v/>
      </c>
      <c r="D259" s="9"/>
      <c r="E259" s="9"/>
      <c r="F259" s="9"/>
      <c r="G259" s="11"/>
      <c r="H259" s="9"/>
      <c r="I259" s="22"/>
      <c r="J259" s="24"/>
      <c r="K25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59" s="22"/>
    </row>
    <row r="260" spans="1:12" x14ac:dyDescent="0.25">
      <c r="A260" s="8"/>
      <c r="B260" s="1" t="str">
        <f>IF(Tabela2[[#This Row],[Data]]="","",PROPER(TEXT(Tabela2[[#This Row],[Data]],"mmm")))</f>
        <v/>
      </c>
      <c r="C260" s="1" t="str">
        <f>IF(Tabela2[[#This Row],[Data]]="","",PROPER(TEXT(Tabela2[[#This Row],[Data]],"ddd")))</f>
        <v/>
      </c>
      <c r="D260" s="9"/>
      <c r="E260" s="9"/>
      <c r="F260" s="9"/>
      <c r="G260" s="11"/>
      <c r="H260" s="9"/>
      <c r="I260" s="22"/>
      <c r="J260" s="24"/>
      <c r="K26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60" s="22"/>
    </row>
    <row r="261" spans="1:12" x14ac:dyDescent="0.25">
      <c r="A261" s="8"/>
      <c r="B261" s="1" t="str">
        <f>IF(Tabela2[[#This Row],[Data]]="","",PROPER(TEXT(Tabela2[[#This Row],[Data]],"mmm")))</f>
        <v/>
      </c>
      <c r="C261" s="1" t="str">
        <f>IF(Tabela2[[#This Row],[Data]]="","",PROPER(TEXT(Tabela2[[#This Row],[Data]],"ddd")))</f>
        <v/>
      </c>
      <c r="D261" s="9"/>
      <c r="E261" s="9"/>
      <c r="F261" s="9"/>
      <c r="G261" s="11"/>
      <c r="H261" s="9"/>
      <c r="I261" s="22"/>
      <c r="J261" s="24"/>
      <c r="K26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61" s="22"/>
    </row>
    <row r="262" spans="1:12" x14ac:dyDescent="0.25">
      <c r="A262" s="8"/>
      <c r="B262" s="1" t="str">
        <f>IF(Tabela2[[#This Row],[Data]]="","",PROPER(TEXT(Tabela2[[#This Row],[Data]],"mmm")))</f>
        <v/>
      </c>
      <c r="C262" s="1" t="str">
        <f>IF(Tabela2[[#This Row],[Data]]="","",PROPER(TEXT(Tabela2[[#This Row],[Data]],"ddd")))</f>
        <v/>
      </c>
      <c r="D262" s="9"/>
      <c r="E262" s="9"/>
      <c r="F262" s="9"/>
      <c r="G262" s="10"/>
      <c r="H262" s="9"/>
      <c r="I262" s="22"/>
      <c r="J262" s="24"/>
      <c r="K26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62" s="22"/>
    </row>
    <row r="263" spans="1:12" x14ac:dyDescent="0.25">
      <c r="A263" s="8"/>
      <c r="B263" s="1" t="str">
        <f>IF(Tabela2[[#This Row],[Data]]="","",PROPER(TEXT(Tabela2[[#This Row],[Data]],"mmm")))</f>
        <v/>
      </c>
      <c r="C263" s="1" t="str">
        <f>IF(Tabela2[[#This Row],[Data]]="","",PROPER(TEXT(Tabela2[[#This Row],[Data]],"ddd")))</f>
        <v/>
      </c>
      <c r="D263" s="9"/>
      <c r="E263" s="9"/>
      <c r="F263" s="9"/>
      <c r="G263" s="11"/>
      <c r="H263" s="9"/>
      <c r="I263" s="22"/>
      <c r="J263" s="24"/>
      <c r="K26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63" s="22"/>
    </row>
    <row r="264" spans="1:12" x14ac:dyDescent="0.25">
      <c r="A264" s="8"/>
      <c r="B264" s="1" t="str">
        <f>IF(Tabela2[[#This Row],[Data]]="","",PROPER(TEXT(Tabela2[[#This Row],[Data]],"mmm")))</f>
        <v/>
      </c>
      <c r="C264" s="1" t="str">
        <f>IF(Tabela2[[#This Row],[Data]]="","",PROPER(TEXT(Tabela2[[#This Row],[Data]],"ddd")))</f>
        <v/>
      </c>
      <c r="D264" s="9"/>
      <c r="E264" s="9"/>
      <c r="F264" s="9"/>
      <c r="G264" s="11"/>
      <c r="H264" s="9"/>
      <c r="I264" s="22"/>
      <c r="J264" s="24"/>
      <c r="K26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64" s="22"/>
    </row>
    <row r="265" spans="1:12" x14ac:dyDescent="0.25">
      <c r="A265" s="8"/>
      <c r="B265" s="1" t="str">
        <f>IF(Tabela2[[#This Row],[Data]]="","",PROPER(TEXT(Tabela2[[#This Row],[Data]],"mmm")))</f>
        <v/>
      </c>
      <c r="C265" s="1" t="str">
        <f>IF(Tabela2[[#This Row],[Data]]="","",PROPER(TEXT(Tabela2[[#This Row],[Data]],"ddd")))</f>
        <v/>
      </c>
      <c r="D265" s="9"/>
      <c r="E265" s="9"/>
      <c r="F265" s="9"/>
      <c r="G265" s="11"/>
      <c r="H265" s="9"/>
      <c r="I265" s="22"/>
      <c r="J265" s="24"/>
      <c r="K26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65" s="22"/>
    </row>
    <row r="266" spans="1:12" x14ac:dyDescent="0.25">
      <c r="A266" s="8"/>
      <c r="B266" s="1" t="str">
        <f>IF(Tabela2[[#This Row],[Data]]="","",PROPER(TEXT(Tabela2[[#This Row],[Data]],"mmm")))</f>
        <v/>
      </c>
      <c r="C266" s="1" t="str">
        <f>IF(Tabela2[[#This Row],[Data]]="","",PROPER(TEXT(Tabela2[[#This Row],[Data]],"ddd")))</f>
        <v/>
      </c>
      <c r="D266" s="9"/>
      <c r="E266" s="9"/>
      <c r="F266" s="9"/>
      <c r="G266" s="11"/>
      <c r="H266" s="9"/>
      <c r="I266" s="22"/>
      <c r="J266" s="24"/>
      <c r="K26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66" s="22"/>
    </row>
    <row r="267" spans="1:12" x14ac:dyDescent="0.25">
      <c r="A267" s="8"/>
      <c r="B267" s="1" t="str">
        <f>IF(Tabela2[[#This Row],[Data]]="","",PROPER(TEXT(Tabela2[[#This Row],[Data]],"mmm")))</f>
        <v/>
      </c>
      <c r="C267" s="1" t="str">
        <f>IF(Tabela2[[#This Row],[Data]]="","",PROPER(TEXT(Tabela2[[#This Row],[Data]],"ddd")))</f>
        <v/>
      </c>
      <c r="D267" s="9"/>
      <c r="E267" s="9"/>
      <c r="F267" s="9"/>
      <c r="G267" s="11"/>
      <c r="H267" s="9"/>
      <c r="I267" s="22"/>
      <c r="J267" s="24"/>
      <c r="K26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67" s="22"/>
    </row>
    <row r="268" spans="1:12" x14ac:dyDescent="0.25">
      <c r="A268" s="8"/>
      <c r="B268" s="1" t="str">
        <f>IF(Tabela2[[#This Row],[Data]]="","",PROPER(TEXT(Tabela2[[#This Row],[Data]],"mmm")))</f>
        <v/>
      </c>
      <c r="C268" s="1" t="str">
        <f>IF(Tabela2[[#This Row],[Data]]="","",PROPER(TEXT(Tabela2[[#This Row],[Data]],"ddd")))</f>
        <v/>
      </c>
      <c r="D268" s="9"/>
      <c r="E268" s="9"/>
      <c r="F268" s="9"/>
      <c r="G268" s="10"/>
      <c r="H268" s="9"/>
      <c r="I268" s="22"/>
      <c r="J268" s="24"/>
      <c r="K26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68" s="22"/>
    </row>
    <row r="269" spans="1:12" x14ac:dyDescent="0.25">
      <c r="A269" s="8"/>
      <c r="B269" s="1" t="str">
        <f>IF(Tabela2[[#This Row],[Data]]="","",PROPER(TEXT(Tabela2[[#This Row],[Data]],"mmm")))</f>
        <v/>
      </c>
      <c r="C269" s="1" t="str">
        <f>IF(Tabela2[[#This Row],[Data]]="","",PROPER(TEXT(Tabela2[[#This Row],[Data]],"ddd")))</f>
        <v/>
      </c>
      <c r="D269" s="9"/>
      <c r="E269" s="9"/>
      <c r="F269" s="9"/>
      <c r="G269" s="11"/>
      <c r="H269" s="9"/>
      <c r="I269" s="22"/>
      <c r="J269" s="24"/>
      <c r="K26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69" s="22"/>
    </row>
    <row r="270" spans="1:12" x14ac:dyDescent="0.25">
      <c r="A270" s="8"/>
      <c r="B270" s="1" t="str">
        <f>IF(Tabela2[[#This Row],[Data]]="","",PROPER(TEXT(Tabela2[[#This Row],[Data]],"mmm")))</f>
        <v/>
      </c>
      <c r="C270" s="1" t="str">
        <f>IF(Tabela2[[#This Row],[Data]]="","",PROPER(TEXT(Tabela2[[#This Row],[Data]],"ddd")))</f>
        <v/>
      </c>
      <c r="D270" s="9"/>
      <c r="E270" s="9"/>
      <c r="F270" s="9"/>
      <c r="G270" s="11"/>
      <c r="H270" s="9"/>
      <c r="I270" s="22"/>
      <c r="J270" s="24"/>
      <c r="K27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70" s="22"/>
    </row>
    <row r="271" spans="1:12" x14ac:dyDescent="0.25">
      <c r="A271" s="8"/>
      <c r="B271" s="1" t="str">
        <f>IF(Tabela2[[#This Row],[Data]]="","",PROPER(TEXT(Tabela2[[#This Row],[Data]],"mmm")))</f>
        <v/>
      </c>
      <c r="C271" s="1" t="str">
        <f>IF(Tabela2[[#This Row],[Data]]="","",PROPER(TEXT(Tabela2[[#This Row],[Data]],"ddd")))</f>
        <v/>
      </c>
      <c r="D271" s="9"/>
      <c r="E271" s="9"/>
      <c r="F271" s="9"/>
      <c r="G271" s="11"/>
      <c r="H271" s="9"/>
      <c r="I271" s="22"/>
      <c r="J271" s="24"/>
      <c r="K27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71" s="22"/>
    </row>
    <row r="272" spans="1:12" x14ac:dyDescent="0.25">
      <c r="A272" s="8"/>
      <c r="B272" s="1" t="str">
        <f>IF(Tabela2[[#This Row],[Data]]="","",PROPER(TEXT(Tabela2[[#This Row],[Data]],"mmm")))</f>
        <v/>
      </c>
      <c r="C272" s="1" t="str">
        <f>IF(Tabela2[[#This Row],[Data]]="","",PROPER(TEXT(Tabela2[[#This Row],[Data]],"ddd")))</f>
        <v/>
      </c>
      <c r="D272" s="9"/>
      <c r="E272" s="9"/>
      <c r="F272" s="9"/>
      <c r="G272" s="11"/>
      <c r="H272" s="9"/>
      <c r="I272" s="22"/>
      <c r="J272" s="24"/>
      <c r="K27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72" s="22"/>
    </row>
    <row r="273" spans="1:12" x14ac:dyDescent="0.25">
      <c r="A273" s="8"/>
      <c r="B273" s="1" t="str">
        <f>IF(Tabela2[[#This Row],[Data]]="","",PROPER(TEXT(Tabela2[[#This Row],[Data]],"mmm")))</f>
        <v/>
      </c>
      <c r="C273" s="1" t="str">
        <f>IF(Tabela2[[#This Row],[Data]]="","",PROPER(TEXT(Tabela2[[#This Row],[Data]],"ddd")))</f>
        <v/>
      </c>
      <c r="D273" s="9"/>
      <c r="E273" s="9"/>
      <c r="F273" s="9"/>
      <c r="G273" s="11"/>
      <c r="H273" s="9"/>
      <c r="I273" s="22"/>
      <c r="J273" s="24"/>
      <c r="K27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73" s="22"/>
    </row>
    <row r="274" spans="1:12" x14ac:dyDescent="0.25">
      <c r="A274" s="8"/>
      <c r="B274" s="1" t="str">
        <f>IF(Tabela2[[#This Row],[Data]]="","",PROPER(TEXT(Tabela2[[#This Row],[Data]],"mmm")))</f>
        <v/>
      </c>
      <c r="C274" s="1" t="str">
        <f>IF(Tabela2[[#This Row],[Data]]="","",PROPER(TEXT(Tabela2[[#This Row],[Data]],"ddd")))</f>
        <v/>
      </c>
      <c r="D274" s="9"/>
      <c r="E274" s="9"/>
      <c r="F274" s="9"/>
      <c r="G274" s="10"/>
      <c r="H274" s="9"/>
      <c r="I274" s="22"/>
      <c r="J274" s="24"/>
      <c r="K27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74" s="22"/>
    </row>
    <row r="275" spans="1:12" x14ac:dyDescent="0.25">
      <c r="A275" s="8"/>
      <c r="B275" s="1" t="str">
        <f>IF(Tabela2[[#This Row],[Data]]="","",PROPER(TEXT(Tabela2[[#This Row],[Data]],"mmm")))</f>
        <v/>
      </c>
      <c r="C275" s="1" t="str">
        <f>IF(Tabela2[[#This Row],[Data]]="","",PROPER(TEXT(Tabela2[[#This Row],[Data]],"ddd")))</f>
        <v/>
      </c>
      <c r="D275" s="9"/>
      <c r="E275" s="9"/>
      <c r="F275" s="9"/>
      <c r="G275" s="11"/>
      <c r="H275" s="9"/>
      <c r="I275" s="22"/>
      <c r="J275" s="24"/>
      <c r="K27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75" s="22"/>
    </row>
    <row r="276" spans="1:12" x14ac:dyDescent="0.25">
      <c r="A276" s="8"/>
      <c r="B276" s="1" t="str">
        <f>IF(Tabela2[[#This Row],[Data]]="","",PROPER(TEXT(Tabela2[[#This Row],[Data]],"mmm")))</f>
        <v/>
      </c>
      <c r="C276" s="1" t="str">
        <f>IF(Tabela2[[#This Row],[Data]]="","",PROPER(TEXT(Tabela2[[#This Row],[Data]],"ddd")))</f>
        <v/>
      </c>
      <c r="D276" s="9"/>
      <c r="E276" s="9"/>
      <c r="F276" s="9"/>
      <c r="G276" s="11"/>
      <c r="H276" s="9"/>
      <c r="I276" s="22"/>
      <c r="J276" s="24"/>
      <c r="K27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76" s="22"/>
    </row>
    <row r="277" spans="1:12" x14ac:dyDescent="0.25">
      <c r="A277" s="8"/>
      <c r="B277" s="1" t="str">
        <f>IF(Tabela2[[#This Row],[Data]]="","",PROPER(TEXT(Tabela2[[#This Row],[Data]],"mmm")))</f>
        <v/>
      </c>
      <c r="C277" s="1" t="str">
        <f>IF(Tabela2[[#This Row],[Data]]="","",PROPER(TEXT(Tabela2[[#This Row],[Data]],"ddd")))</f>
        <v/>
      </c>
      <c r="D277" s="9"/>
      <c r="E277" s="9"/>
      <c r="F277" s="9"/>
      <c r="G277" s="11"/>
      <c r="H277" s="9"/>
      <c r="I277" s="22"/>
      <c r="J277" s="24"/>
      <c r="K27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77" s="22"/>
    </row>
    <row r="278" spans="1:12" x14ac:dyDescent="0.25">
      <c r="A278" s="8"/>
      <c r="B278" s="1" t="str">
        <f>IF(Tabela2[[#This Row],[Data]]="","",PROPER(TEXT(Tabela2[[#This Row],[Data]],"mmm")))</f>
        <v/>
      </c>
      <c r="C278" s="1" t="str">
        <f>IF(Tabela2[[#This Row],[Data]]="","",PROPER(TEXT(Tabela2[[#This Row],[Data]],"ddd")))</f>
        <v/>
      </c>
      <c r="D278" s="9"/>
      <c r="E278" s="9"/>
      <c r="F278" s="9"/>
      <c r="G278" s="11"/>
      <c r="H278" s="9"/>
      <c r="I278" s="22"/>
      <c r="J278" s="24"/>
      <c r="K27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78" s="22"/>
    </row>
    <row r="279" spans="1:12" x14ac:dyDescent="0.25">
      <c r="A279" s="8"/>
      <c r="B279" s="1" t="str">
        <f>IF(Tabela2[[#This Row],[Data]]="","",PROPER(TEXT(Tabela2[[#This Row],[Data]],"mmm")))</f>
        <v/>
      </c>
      <c r="C279" s="1" t="str">
        <f>IF(Tabela2[[#This Row],[Data]]="","",PROPER(TEXT(Tabela2[[#This Row],[Data]],"ddd")))</f>
        <v/>
      </c>
      <c r="D279" s="9"/>
      <c r="E279" s="9"/>
      <c r="F279" s="9"/>
      <c r="G279" s="11"/>
      <c r="H279" s="9"/>
      <c r="I279" s="22"/>
      <c r="J279" s="24"/>
      <c r="K27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79" s="22"/>
    </row>
    <row r="280" spans="1:12" x14ac:dyDescent="0.25">
      <c r="A280" s="8"/>
      <c r="B280" s="1" t="str">
        <f>IF(Tabela2[[#This Row],[Data]]="","",PROPER(TEXT(Tabela2[[#This Row],[Data]],"mmm")))</f>
        <v/>
      </c>
      <c r="C280" s="1" t="str">
        <f>IF(Tabela2[[#This Row],[Data]]="","",PROPER(TEXT(Tabela2[[#This Row],[Data]],"ddd")))</f>
        <v/>
      </c>
      <c r="D280" s="9"/>
      <c r="E280" s="9"/>
      <c r="F280" s="9"/>
      <c r="G280" s="10"/>
      <c r="H280" s="9"/>
      <c r="I280" s="22"/>
      <c r="J280" s="24"/>
      <c r="K28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80" s="22"/>
    </row>
    <row r="281" spans="1:12" x14ac:dyDescent="0.25">
      <c r="A281" s="8"/>
      <c r="B281" s="1" t="str">
        <f>IF(Tabela2[[#This Row],[Data]]="","",PROPER(TEXT(Tabela2[[#This Row],[Data]],"mmm")))</f>
        <v/>
      </c>
      <c r="C281" s="1" t="str">
        <f>IF(Tabela2[[#This Row],[Data]]="","",PROPER(TEXT(Tabela2[[#This Row],[Data]],"ddd")))</f>
        <v/>
      </c>
      <c r="D281" s="9"/>
      <c r="E281" s="9"/>
      <c r="F281" s="9"/>
      <c r="G281" s="11"/>
      <c r="H281" s="9"/>
      <c r="I281" s="22"/>
      <c r="J281" s="24"/>
      <c r="K28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81" s="22"/>
    </row>
    <row r="282" spans="1:12" x14ac:dyDescent="0.25">
      <c r="A282" s="8"/>
      <c r="B282" s="1" t="str">
        <f>IF(Tabela2[[#This Row],[Data]]="","",PROPER(TEXT(Tabela2[[#This Row],[Data]],"mmm")))</f>
        <v/>
      </c>
      <c r="C282" s="1" t="str">
        <f>IF(Tabela2[[#This Row],[Data]]="","",PROPER(TEXT(Tabela2[[#This Row],[Data]],"ddd")))</f>
        <v/>
      </c>
      <c r="D282" s="9"/>
      <c r="E282" s="9"/>
      <c r="F282" s="9"/>
      <c r="G282" s="11"/>
      <c r="H282" s="9"/>
      <c r="I282" s="22"/>
      <c r="J282" s="24"/>
      <c r="K28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82" s="22"/>
    </row>
    <row r="283" spans="1:12" x14ac:dyDescent="0.25">
      <c r="A283" s="8"/>
      <c r="B283" s="1" t="str">
        <f>IF(Tabela2[[#This Row],[Data]]="","",PROPER(TEXT(Tabela2[[#This Row],[Data]],"mmm")))</f>
        <v/>
      </c>
      <c r="C283" s="1" t="str">
        <f>IF(Tabela2[[#This Row],[Data]]="","",PROPER(TEXT(Tabela2[[#This Row],[Data]],"ddd")))</f>
        <v/>
      </c>
      <c r="D283" s="9"/>
      <c r="E283" s="9"/>
      <c r="F283" s="9"/>
      <c r="G283" s="11"/>
      <c r="H283" s="9"/>
      <c r="I283" s="22"/>
      <c r="J283" s="24"/>
      <c r="K28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83" s="22"/>
    </row>
    <row r="284" spans="1:12" x14ac:dyDescent="0.25">
      <c r="A284" s="8"/>
      <c r="B284" s="1" t="str">
        <f>IF(Tabela2[[#This Row],[Data]]="","",PROPER(TEXT(Tabela2[[#This Row],[Data]],"mmm")))</f>
        <v/>
      </c>
      <c r="C284" s="1" t="str">
        <f>IF(Tabela2[[#This Row],[Data]]="","",PROPER(TEXT(Tabela2[[#This Row],[Data]],"ddd")))</f>
        <v/>
      </c>
      <c r="D284" s="9"/>
      <c r="E284" s="9"/>
      <c r="F284" s="9"/>
      <c r="G284" s="11"/>
      <c r="H284" s="9"/>
      <c r="I284" s="22"/>
      <c r="J284" s="24"/>
      <c r="K28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84" s="22"/>
    </row>
    <row r="285" spans="1:12" x14ac:dyDescent="0.25">
      <c r="A285" s="8"/>
      <c r="B285" s="1" t="str">
        <f>IF(Tabela2[[#This Row],[Data]]="","",PROPER(TEXT(Tabela2[[#This Row],[Data]],"mmm")))</f>
        <v/>
      </c>
      <c r="C285" s="1" t="str">
        <f>IF(Tabela2[[#This Row],[Data]]="","",PROPER(TEXT(Tabela2[[#This Row],[Data]],"ddd")))</f>
        <v/>
      </c>
      <c r="D285" s="9"/>
      <c r="E285" s="9"/>
      <c r="F285" s="9"/>
      <c r="G285" s="11"/>
      <c r="H285" s="9"/>
      <c r="I285" s="22"/>
      <c r="J285" s="24"/>
      <c r="K28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85" s="22"/>
    </row>
    <row r="286" spans="1:12" x14ac:dyDescent="0.25">
      <c r="A286" s="8"/>
      <c r="B286" s="1" t="str">
        <f>IF(Tabela2[[#This Row],[Data]]="","",PROPER(TEXT(Tabela2[[#This Row],[Data]],"mmm")))</f>
        <v/>
      </c>
      <c r="C286" s="1" t="str">
        <f>IF(Tabela2[[#This Row],[Data]]="","",PROPER(TEXT(Tabela2[[#This Row],[Data]],"ddd")))</f>
        <v/>
      </c>
      <c r="D286" s="9"/>
      <c r="E286" s="9"/>
      <c r="F286" s="9"/>
      <c r="G286" s="10"/>
      <c r="H286" s="9"/>
      <c r="I286" s="22"/>
      <c r="J286" s="24"/>
      <c r="K28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86" s="22"/>
    </row>
    <row r="287" spans="1:12" x14ac:dyDescent="0.25">
      <c r="A287" s="8"/>
      <c r="B287" s="1" t="str">
        <f>IF(Tabela2[[#This Row],[Data]]="","",PROPER(TEXT(Tabela2[[#This Row],[Data]],"mmm")))</f>
        <v/>
      </c>
      <c r="C287" s="1" t="str">
        <f>IF(Tabela2[[#This Row],[Data]]="","",PROPER(TEXT(Tabela2[[#This Row],[Data]],"ddd")))</f>
        <v/>
      </c>
      <c r="D287" s="9"/>
      <c r="E287" s="9"/>
      <c r="F287" s="9"/>
      <c r="G287" s="11"/>
      <c r="H287" s="9"/>
      <c r="I287" s="22"/>
      <c r="J287" s="24"/>
      <c r="K28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87" s="22"/>
    </row>
    <row r="288" spans="1:12" x14ac:dyDescent="0.25">
      <c r="A288" s="8"/>
      <c r="B288" s="1" t="str">
        <f>IF(Tabela2[[#This Row],[Data]]="","",PROPER(TEXT(Tabela2[[#This Row],[Data]],"mmm")))</f>
        <v/>
      </c>
      <c r="C288" s="1" t="str">
        <f>IF(Tabela2[[#This Row],[Data]]="","",PROPER(TEXT(Tabela2[[#This Row],[Data]],"ddd")))</f>
        <v/>
      </c>
      <c r="D288" s="9"/>
      <c r="E288" s="9"/>
      <c r="F288" s="9"/>
      <c r="G288" s="11"/>
      <c r="H288" s="9"/>
      <c r="I288" s="22"/>
      <c r="J288" s="24"/>
      <c r="K28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88" s="22"/>
    </row>
    <row r="289" spans="1:12" x14ac:dyDescent="0.25">
      <c r="A289" s="8"/>
      <c r="B289" s="1" t="str">
        <f>IF(Tabela2[[#This Row],[Data]]="","",PROPER(TEXT(Tabela2[[#This Row],[Data]],"mmm")))</f>
        <v/>
      </c>
      <c r="C289" s="1" t="str">
        <f>IF(Tabela2[[#This Row],[Data]]="","",PROPER(TEXT(Tabela2[[#This Row],[Data]],"ddd")))</f>
        <v/>
      </c>
      <c r="D289" s="9"/>
      <c r="E289" s="9"/>
      <c r="F289" s="9"/>
      <c r="G289" s="11"/>
      <c r="H289" s="9"/>
      <c r="I289" s="22"/>
      <c r="J289" s="24"/>
      <c r="K28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89" s="22"/>
    </row>
    <row r="290" spans="1:12" x14ac:dyDescent="0.25">
      <c r="A290" s="8"/>
      <c r="B290" s="1" t="str">
        <f>IF(Tabela2[[#This Row],[Data]]="","",PROPER(TEXT(Tabela2[[#This Row],[Data]],"mmm")))</f>
        <v/>
      </c>
      <c r="C290" s="1" t="str">
        <f>IF(Tabela2[[#This Row],[Data]]="","",PROPER(TEXT(Tabela2[[#This Row],[Data]],"ddd")))</f>
        <v/>
      </c>
      <c r="D290" s="9"/>
      <c r="E290" s="9"/>
      <c r="F290" s="9"/>
      <c r="G290" s="11"/>
      <c r="H290" s="9"/>
      <c r="I290" s="22"/>
      <c r="J290" s="24"/>
      <c r="K29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90" s="22"/>
    </row>
    <row r="291" spans="1:12" x14ac:dyDescent="0.25">
      <c r="A291" s="8"/>
      <c r="B291" s="1" t="str">
        <f>IF(Tabela2[[#This Row],[Data]]="","",PROPER(TEXT(Tabela2[[#This Row],[Data]],"mmm")))</f>
        <v/>
      </c>
      <c r="C291" s="1" t="str">
        <f>IF(Tabela2[[#This Row],[Data]]="","",PROPER(TEXT(Tabela2[[#This Row],[Data]],"ddd")))</f>
        <v/>
      </c>
      <c r="D291" s="9"/>
      <c r="E291" s="9"/>
      <c r="F291" s="9"/>
      <c r="G291" s="11"/>
      <c r="H291" s="9"/>
      <c r="I291" s="22"/>
      <c r="J291" s="24"/>
      <c r="K29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91" s="22"/>
    </row>
    <row r="292" spans="1:12" x14ac:dyDescent="0.25">
      <c r="A292" s="8"/>
      <c r="B292" s="1" t="str">
        <f>IF(Tabela2[[#This Row],[Data]]="","",PROPER(TEXT(Tabela2[[#This Row],[Data]],"mmm")))</f>
        <v/>
      </c>
      <c r="C292" s="1" t="str">
        <f>IF(Tabela2[[#This Row],[Data]]="","",PROPER(TEXT(Tabela2[[#This Row],[Data]],"ddd")))</f>
        <v/>
      </c>
      <c r="D292" s="9"/>
      <c r="E292" s="9"/>
      <c r="F292" s="9"/>
      <c r="G292" s="10"/>
      <c r="H292" s="9"/>
      <c r="I292" s="22"/>
      <c r="J292" s="24"/>
      <c r="K29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92" s="22"/>
    </row>
    <row r="293" spans="1:12" x14ac:dyDescent="0.25">
      <c r="A293" s="8"/>
      <c r="B293" s="1" t="str">
        <f>IF(Tabela2[[#This Row],[Data]]="","",PROPER(TEXT(Tabela2[[#This Row],[Data]],"mmm")))</f>
        <v/>
      </c>
      <c r="C293" s="1" t="str">
        <f>IF(Tabela2[[#This Row],[Data]]="","",PROPER(TEXT(Tabela2[[#This Row],[Data]],"ddd")))</f>
        <v/>
      </c>
      <c r="D293" s="9"/>
      <c r="E293" s="9"/>
      <c r="F293" s="9"/>
      <c r="G293" s="11"/>
      <c r="H293" s="9"/>
      <c r="I293" s="22"/>
      <c r="J293" s="24"/>
      <c r="K29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93" s="22"/>
    </row>
    <row r="294" spans="1:12" x14ac:dyDescent="0.25">
      <c r="A294" s="8"/>
      <c r="B294" s="1" t="str">
        <f>IF(Tabela2[[#This Row],[Data]]="","",PROPER(TEXT(Tabela2[[#This Row],[Data]],"mmm")))</f>
        <v/>
      </c>
      <c r="C294" s="1" t="str">
        <f>IF(Tabela2[[#This Row],[Data]]="","",PROPER(TEXT(Tabela2[[#This Row],[Data]],"ddd")))</f>
        <v/>
      </c>
      <c r="D294" s="9"/>
      <c r="E294" s="9"/>
      <c r="F294" s="9"/>
      <c r="G294" s="11"/>
      <c r="H294" s="9"/>
      <c r="I294" s="22"/>
      <c r="J294" s="24"/>
      <c r="K29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94" s="22"/>
    </row>
    <row r="295" spans="1:12" x14ac:dyDescent="0.25">
      <c r="A295" s="8"/>
      <c r="B295" s="1" t="str">
        <f>IF(Tabela2[[#This Row],[Data]]="","",PROPER(TEXT(Tabela2[[#This Row],[Data]],"mmm")))</f>
        <v/>
      </c>
      <c r="C295" s="1" t="str">
        <f>IF(Tabela2[[#This Row],[Data]]="","",PROPER(TEXT(Tabela2[[#This Row],[Data]],"ddd")))</f>
        <v/>
      </c>
      <c r="D295" s="9"/>
      <c r="E295" s="9"/>
      <c r="F295" s="9"/>
      <c r="G295" s="11"/>
      <c r="H295" s="9"/>
      <c r="I295" s="22"/>
      <c r="J295" s="24"/>
      <c r="K29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95" s="22"/>
    </row>
    <row r="296" spans="1:12" x14ac:dyDescent="0.25">
      <c r="A296" s="8"/>
      <c r="B296" s="1" t="str">
        <f>IF(Tabela2[[#This Row],[Data]]="","",PROPER(TEXT(Tabela2[[#This Row],[Data]],"mmm")))</f>
        <v/>
      </c>
      <c r="C296" s="1" t="str">
        <f>IF(Tabela2[[#This Row],[Data]]="","",PROPER(TEXT(Tabela2[[#This Row],[Data]],"ddd")))</f>
        <v/>
      </c>
      <c r="D296" s="9"/>
      <c r="E296" s="9"/>
      <c r="F296" s="9"/>
      <c r="G296" s="11"/>
      <c r="H296" s="9"/>
      <c r="I296" s="22"/>
      <c r="J296" s="24"/>
      <c r="K29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96" s="22"/>
    </row>
    <row r="297" spans="1:12" x14ac:dyDescent="0.25">
      <c r="A297" s="8"/>
      <c r="B297" s="1" t="str">
        <f>IF(Tabela2[[#This Row],[Data]]="","",PROPER(TEXT(Tabela2[[#This Row],[Data]],"mmm")))</f>
        <v/>
      </c>
      <c r="C297" s="1" t="str">
        <f>IF(Tabela2[[#This Row],[Data]]="","",PROPER(TEXT(Tabela2[[#This Row],[Data]],"ddd")))</f>
        <v/>
      </c>
      <c r="D297" s="9"/>
      <c r="E297" s="9"/>
      <c r="F297" s="9"/>
      <c r="G297" s="11"/>
      <c r="H297" s="9"/>
      <c r="I297" s="22"/>
      <c r="J297" s="24"/>
      <c r="K29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97" s="22"/>
    </row>
    <row r="298" spans="1:12" x14ac:dyDescent="0.25">
      <c r="A298" s="8"/>
      <c r="B298" s="1" t="str">
        <f>IF(Tabela2[[#This Row],[Data]]="","",PROPER(TEXT(Tabela2[[#This Row],[Data]],"mmm")))</f>
        <v/>
      </c>
      <c r="C298" s="1" t="str">
        <f>IF(Tabela2[[#This Row],[Data]]="","",PROPER(TEXT(Tabela2[[#This Row],[Data]],"ddd")))</f>
        <v/>
      </c>
      <c r="D298" s="9"/>
      <c r="E298" s="9"/>
      <c r="F298" s="9"/>
      <c r="G298" s="10"/>
      <c r="H298" s="9"/>
      <c r="I298" s="22"/>
      <c r="J298" s="24"/>
      <c r="K29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98" s="22"/>
    </row>
    <row r="299" spans="1:12" x14ac:dyDescent="0.25">
      <c r="A299" s="8"/>
      <c r="B299" s="1" t="str">
        <f>IF(Tabela2[[#This Row],[Data]]="","",PROPER(TEXT(Tabela2[[#This Row],[Data]],"mmm")))</f>
        <v/>
      </c>
      <c r="C299" s="1" t="str">
        <f>IF(Tabela2[[#This Row],[Data]]="","",PROPER(TEXT(Tabela2[[#This Row],[Data]],"ddd")))</f>
        <v/>
      </c>
      <c r="D299" s="9"/>
      <c r="E299" s="9"/>
      <c r="F299" s="9"/>
      <c r="G299" s="11"/>
      <c r="H299" s="9"/>
      <c r="I299" s="22"/>
      <c r="J299" s="24"/>
      <c r="K29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299" s="22"/>
    </row>
    <row r="300" spans="1:12" x14ac:dyDescent="0.25">
      <c r="A300" s="8"/>
      <c r="B300" s="1" t="str">
        <f>IF(Tabela2[[#This Row],[Data]]="","",PROPER(TEXT(Tabela2[[#This Row],[Data]],"mmm")))</f>
        <v/>
      </c>
      <c r="C300" s="1" t="str">
        <f>IF(Tabela2[[#This Row],[Data]]="","",PROPER(TEXT(Tabela2[[#This Row],[Data]],"ddd")))</f>
        <v/>
      </c>
      <c r="D300" s="9"/>
      <c r="E300" s="9"/>
      <c r="F300" s="9"/>
      <c r="G300" s="11"/>
      <c r="H300" s="9"/>
      <c r="I300" s="22"/>
      <c r="J300" s="24"/>
      <c r="K30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00" s="22"/>
    </row>
    <row r="301" spans="1:12" x14ac:dyDescent="0.25">
      <c r="A301" s="8"/>
      <c r="B301" s="1" t="str">
        <f>IF(Tabela2[[#This Row],[Data]]="","",PROPER(TEXT(Tabela2[[#This Row],[Data]],"mmm")))</f>
        <v/>
      </c>
      <c r="C301" s="1" t="str">
        <f>IF(Tabela2[[#This Row],[Data]]="","",PROPER(TEXT(Tabela2[[#This Row],[Data]],"ddd")))</f>
        <v/>
      </c>
      <c r="D301" s="9"/>
      <c r="E301" s="9"/>
      <c r="F301" s="9"/>
      <c r="G301" s="11"/>
      <c r="H301" s="9"/>
      <c r="I301" s="22"/>
      <c r="J301" s="24"/>
      <c r="K30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01" s="22"/>
    </row>
    <row r="302" spans="1:12" x14ac:dyDescent="0.25">
      <c r="A302" s="8"/>
      <c r="B302" s="1" t="str">
        <f>IF(Tabela2[[#This Row],[Data]]="","",PROPER(TEXT(Tabela2[[#This Row],[Data]],"mmm")))</f>
        <v/>
      </c>
      <c r="C302" s="1" t="str">
        <f>IF(Tabela2[[#This Row],[Data]]="","",PROPER(TEXT(Tabela2[[#This Row],[Data]],"ddd")))</f>
        <v/>
      </c>
      <c r="D302" s="9"/>
      <c r="E302" s="9"/>
      <c r="F302" s="9"/>
      <c r="G302" s="11"/>
      <c r="H302" s="9"/>
      <c r="I302" s="22"/>
      <c r="J302" s="24"/>
      <c r="K30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02" s="22"/>
    </row>
    <row r="303" spans="1:12" x14ac:dyDescent="0.25">
      <c r="A303" s="8"/>
      <c r="B303" s="1" t="str">
        <f>IF(Tabela2[[#This Row],[Data]]="","",PROPER(TEXT(Tabela2[[#This Row],[Data]],"mmm")))</f>
        <v/>
      </c>
      <c r="C303" s="1" t="str">
        <f>IF(Tabela2[[#This Row],[Data]]="","",PROPER(TEXT(Tabela2[[#This Row],[Data]],"ddd")))</f>
        <v/>
      </c>
      <c r="D303" s="9"/>
      <c r="E303" s="9"/>
      <c r="F303" s="9"/>
      <c r="G303" s="11"/>
      <c r="H303" s="9"/>
      <c r="I303" s="22"/>
      <c r="J303" s="24"/>
      <c r="K30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03" s="22"/>
    </row>
    <row r="304" spans="1:12" x14ac:dyDescent="0.25">
      <c r="A304" s="8"/>
      <c r="B304" s="1" t="str">
        <f>IF(Tabela2[[#This Row],[Data]]="","",PROPER(TEXT(Tabela2[[#This Row],[Data]],"mmm")))</f>
        <v/>
      </c>
      <c r="C304" s="1" t="str">
        <f>IF(Tabela2[[#This Row],[Data]]="","",PROPER(TEXT(Tabela2[[#This Row],[Data]],"ddd")))</f>
        <v/>
      </c>
      <c r="D304" s="9"/>
      <c r="E304" s="9"/>
      <c r="F304" s="9"/>
      <c r="G304" s="10"/>
      <c r="H304" s="9"/>
      <c r="I304" s="22"/>
      <c r="J304" s="24"/>
      <c r="K30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04" s="22"/>
    </row>
    <row r="305" spans="1:12" x14ac:dyDescent="0.25">
      <c r="A305" s="8"/>
      <c r="B305" s="1" t="str">
        <f>IF(Tabela2[[#This Row],[Data]]="","",PROPER(TEXT(Tabela2[[#This Row],[Data]],"mmm")))</f>
        <v/>
      </c>
      <c r="C305" s="1" t="str">
        <f>IF(Tabela2[[#This Row],[Data]]="","",PROPER(TEXT(Tabela2[[#This Row],[Data]],"ddd")))</f>
        <v/>
      </c>
      <c r="D305" s="9"/>
      <c r="E305" s="9"/>
      <c r="F305" s="9"/>
      <c r="G305" s="11"/>
      <c r="H305" s="9"/>
      <c r="I305" s="22"/>
      <c r="J305" s="24"/>
      <c r="K30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05" s="22"/>
    </row>
    <row r="306" spans="1:12" x14ac:dyDescent="0.25">
      <c r="A306" s="8"/>
      <c r="B306" s="1" t="str">
        <f>IF(Tabela2[[#This Row],[Data]]="","",PROPER(TEXT(Tabela2[[#This Row],[Data]],"mmm")))</f>
        <v/>
      </c>
      <c r="C306" s="1" t="str">
        <f>IF(Tabela2[[#This Row],[Data]]="","",PROPER(TEXT(Tabela2[[#This Row],[Data]],"ddd")))</f>
        <v/>
      </c>
      <c r="D306" s="9"/>
      <c r="E306" s="9"/>
      <c r="F306" s="9"/>
      <c r="G306" s="11"/>
      <c r="H306" s="9"/>
      <c r="I306" s="22"/>
      <c r="J306" s="24"/>
      <c r="K30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06" s="22"/>
    </row>
    <row r="307" spans="1:12" x14ac:dyDescent="0.25">
      <c r="A307" s="8"/>
      <c r="B307" s="1" t="str">
        <f>IF(Tabela2[[#This Row],[Data]]="","",PROPER(TEXT(Tabela2[[#This Row],[Data]],"mmm")))</f>
        <v/>
      </c>
      <c r="C307" s="1" t="str">
        <f>IF(Tabela2[[#This Row],[Data]]="","",PROPER(TEXT(Tabela2[[#This Row],[Data]],"ddd")))</f>
        <v/>
      </c>
      <c r="D307" s="9"/>
      <c r="E307" s="9"/>
      <c r="F307" s="9"/>
      <c r="G307" s="11"/>
      <c r="H307" s="9"/>
      <c r="I307" s="22"/>
      <c r="J307" s="24"/>
      <c r="K30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07" s="22"/>
    </row>
    <row r="308" spans="1:12" x14ac:dyDescent="0.25">
      <c r="A308" s="8"/>
      <c r="B308" s="1" t="str">
        <f>IF(Tabela2[[#This Row],[Data]]="","",PROPER(TEXT(Tabela2[[#This Row],[Data]],"mmm")))</f>
        <v/>
      </c>
      <c r="C308" s="1" t="str">
        <f>IF(Tabela2[[#This Row],[Data]]="","",PROPER(TEXT(Tabela2[[#This Row],[Data]],"ddd")))</f>
        <v/>
      </c>
      <c r="D308" s="9"/>
      <c r="E308" s="9"/>
      <c r="F308" s="9"/>
      <c r="G308" s="11"/>
      <c r="H308" s="9"/>
      <c r="I308" s="22"/>
      <c r="J308" s="24"/>
      <c r="K30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08" s="22"/>
    </row>
    <row r="309" spans="1:12" x14ac:dyDescent="0.25">
      <c r="A309" s="8"/>
      <c r="B309" s="1" t="str">
        <f>IF(Tabela2[[#This Row],[Data]]="","",PROPER(TEXT(Tabela2[[#This Row],[Data]],"mmm")))</f>
        <v/>
      </c>
      <c r="C309" s="1" t="str">
        <f>IF(Tabela2[[#This Row],[Data]]="","",PROPER(TEXT(Tabela2[[#This Row],[Data]],"ddd")))</f>
        <v/>
      </c>
      <c r="D309" s="9"/>
      <c r="E309" s="9"/>
      <c r="F309" s="9"/>
      <c r="G309" s="11"/>
      <c r="H309" s="9"/>
      <c r="I309" s="22"/>
      <c r="J309" s="24"/>
      <c r="K30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09" s="22"/>
    </row>
    <row r="310" spans="1:12" x14ac:dyDescent="0.25">
      <c r="A310" s="8"/>
      <c r="B310" s="1" t="str">
        <f>IF(Tabela2[[#This Row],[Data]]="","",PROPER(TEXT(Tabela2[[#This Row],[Data]],"mmm")))</f>
        <v/>
      </c>
      <c r="C310" s="1" t="str">
        <f>IF(Tabela2[[#This Row],[Data]]="","",PROPER(TEXT(Tabela2[[#This Row],[Data]],"ddd")))</f>
        <v/>
      </c>
      <c r="D310" s="9"/>
      <c r="E310" s="9"/>
      <c r="F310" s="9"/>
      <c r="G310" s="10"/>
      <c r="H310" s="9"/>
      <c r="I310" s="22"/>
      <c r="J310" s="24"/>
      <c r="K31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10" s="22"/>
    </row>
    <row r="311" spans="1:12" x14ac:dyDescent="0.25">
      <c r="A311" s="8"/>
      <c r="B311" s="1" t="str">
        <f>IF(Tabela2[[#This Row],[Data]]="","",PROPER(TEXT(Tabela2[[#This Row],[Data]],"mmm")))</f>
        <v/>
      </c>
      <c r="C311" s="1" t="str">
        <f>IF(Tabela2[[#This Row],[Data]]="","",PROPER(TEXT(Tabela2[[#This Row],[Data]],"ddd")))</f>
        <v/>
      </c>
      <c r="D311" s="9"/>
      <c r="E311" s="9"/>
      <c r="F311" s="9"/>
      <c r="G311" s="11"/>
      <c r="H311" s="9"/>
      <c r="I311" s="22"/>
      <c r="J311" s="24"/>
      <c r="K31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11" s="22"/>
    </row>
    <row r="312" spans="1:12" x14ac:dyDescent="0.25">
      <c r="A312" s="8"/>
      <c r="B312" s="1" t="str">
        <f>IF(Tabela2[[#This Row],[Data]]="","",PROPER(TEXT(Tabela2[[#This Row],[Data]],"mmm")))</f>
        <v/>
      </c>
      <c r="C312" s="1" t="str">
        <f>IF(Tabela2[[#This Row],[Data]]="","",PROPER(TEXT(Tabela2[[#This Row],[Data]],"ddd")))</f>
        <v/>
      </c>
      <c r="D312" s="9"/>
      <c r="E312" s="9"/>
      <c r="F312" s="9"/>
      <c r="G312" s="11"/>
      <c r="H312" s="9"/>
      <c r="I312" s="22"/>
      <c r="J312" s="24"/>
      <c r="K31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12" s="22"/>
    </row>
    <row r="313" spans="1:12" x14ac:dyDescent="0.25">
      <c r="A313" s="8"/>
      <c r="B313" s="1" t="str">
        <f>IF(Tabela2[[#This Row],[Data]]="","",PROPER(TEXT(Tabela2[[#This Row],[Data]],"mmm")))</f>
        <v/>
      </c>
      <c r="C313" s="1" t="str">
        <f>IF(Tabela2[[#This Row],[Data]]="","",PROPER(TEXT(Tabela2[[#This Row],[Data]],"ddd")))</f>
        <v/>
      </c>
      <c r="D313" s="9"/>
      <c r="E313" s="9"/>
      <c r="F313" s="9"/>
      <c r="G313" s="11"/>
      <c r="H313" s="9"/>
      <c r="I313" s="22"/>
      <c r="J313" s="24"/>
      <c r="K31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13" s="22"/>
    </row>
    <row r="314" spans="1:12" x14ac:dyDescent="0.25">
      <c r="A314" s="8"/>
      <c r="B314" s="1" t="str">
        <f>IF(Tabela2[[#This Row],[Data]]="","",PROPER(TEXT(Tabela2[[#This Row],[Data]],"mmm")))</f>
        <v/>
      </c>
      <c r="C314" s="1" t="str">
        <f>IF(Tabela2[[#This Row],[Data]]="","",PROPER(TEXT(Tabela2[[#This Row],[Data]],"ddd")))</f>
        <v/>
      </c>
      <c r="D314" s="9"/>
      <c r="E314" s="9"/>
      <c r="F314" s="9"/>
      <c r="G314" s="11"/>
      <c r="H314" s="9"/>
      <c r="I314" s="22"/>
      <c r="J314" s="24"/>
      <c r="K31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14" s="22"/>
    </row>
    <row r="315" spans="1:12" x14ac:dyDescent="0.25">
      <c r="A315" s="8"/>
      <c r="B315" s="1" t="str">
        <f>IF(Tabela2[[#This Row],[Data]]="","",PROPER(TEXT(Tabela2[[#This Row],[Data]],"mmm")))</f>
        <v/>
      </c>
      <c r="C315" s="1" t="str">
        <f>IF(Tabela2[[#This Row],[Data]]="","",PROPER(TEXT(Tabela2[[#This Row],[Data]],"ddd")))</f>
        <v/>
      </c>
      <c r="D315" s="9"/>
      <c r="E315" s="9"/>
      <c r="F315" s="9"/>
      <c r="G315" s="11"/>
      <c r="H315" s="9"/>
      <c r="I315" s="22"/>
      <c r="J315" s="24"/>
      <c r="K31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15" s="22"/>
    </row>
    <row r="316" spans="1:12" x14ac:dyDescent="0.25">
      <c r="A316" s="8"/>
      <c r="B316" s="1" t="str">
        <f>IF(Tabela2[[#This Row],[Data]]="","",PROPER(TEXT(Tabela2[[#This Row],[Data]],"mmm")))</f>
        <v/>
      </c>
      <c r="C316" s="1" t="str">
        <f>IF(Tabela2[[#This Row],[Data]]="","",PROPER(TEXT(Tabela2[[#This Row],[Data]],"ddd")))</f>
        <v/>
      </c>
      <c r="D316" s="9"/>
      <c r="E316" s="9"/>
      <c r="F316" s="9"/>
      <c r="G316" s="10"/>
      <c r="H316" s="9"/>
      <c r="I316" s="22"/>
      <c r="J316" s="24"/>
      <c r="K31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16" s="22"/>
    </row>
    <row r="317" spans="1:12" x14ac:dyDescent="0.25">
      <c r="A317" s="8"/>
      <c r="B317" s="1" t="str">
        <f>IF(Tabela2[[#This Row],[Data]]="","",PROPER(TEXT(Tabela2[[#This Row],[Data]],"mmm")))</f>
        <v/>
      </c>
      <c r="C317" s="1" t="str">
        <f>IF(Tabela2[[#This Row],[Data]]="","",PROPER(TEXT(Tabela2[[#This Row],[Data]],"ddd")))</f>
        <v/>
      </c>
      <c r="D317" s="9"/>
      <c r="E317" s="9"/>
      <c r="F317" s="9"/>
      <c r="G317" s="11"/>
      <c r="H317" s="9"/>
      <c r="I317" s="22"/>
      <c r="J317" s="24"/>
      <c r="K31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17" s="22"/>
    </row>
    <row r="318" spans="1:12" x14ac:dyDescent="0.25">
      <c r="A318" s="8"/>
      <c r="B318" s="1" t="str">
        <f>IF(Tabela2[[#This Row],[Data]]="","",PROPER(TEXT(Tabela2[[#This Row],[Data]],"mmm")))</f>
        <v/>
      </c>
      <c r="C318" s="1" t="str">
        <f>IF(Tabela2[[#This Row],[Data]]="","",PROPER(TEXT(Tabela2[[#This Row],[Data]],"ddd")))</f>
        <v/>
      </c>
      <c r="D318" s="9"/>
      <c r="E318" s="9"/>
      <c r="F318" s="9"/>
      <c r="G318" s="11"/>
      <c r="H318" s="9"/>
      <c r="I318" s="22"/>
      <c r="J318" s="24"/>
      <c r="K31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18" s="22"/>
    </row>
    <row r="319" spans="1:12" x14ac:dyDescent="0.25">
      <c r="A319" s="8"/>
      <c r="B319" s="1" t="str">
        <f>IF(Tabela2[[#This Row],[Data]]="","",PROPER(TEXT(Tabela2[[#This Row],[Data]],"mmm")))</f>
        <v/>
      </c>
      <c r="C319" s="1" t="str">
        <f>IF(Tabela2[[#This Row],[Data]]="","",PROPER(TEXT(Tabela2[[#This Row],[Data]],"ddd")))</f>
        <v/>
      </c>
      <c r="D319" s="9"/>
      <c r="E319" s="9"/>
      <c r="F319" s="9"/>
      <c r="G319" s="11"/>
      <c r="H319" s="9"/>
      <c r="I319" s="22"/>
      <c r="J319" s="24"/>
      <c r="K31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19" s="22"/>
    </row>
    <row r="320" spans="1:12" x14ac:dyDescent="0.25">
      <c r="A320" s="8"/>
      <c r="B320" s="1" t="str">
        <f>IF(Tabela2[[#This Row],[Data]]="","",PROPER(TEXT(Tabela2[[#This Row],[Data]],"mmm")))</f>
        <v/>
      </c>
      <c r="C320" s="1" t="str">
        <f>IF(Tabela2[[#This Row],[Data]]="","",PROPER(TEXT(Tabela2[[#This Row],[Data]],"ddd")))</f>
        <v/>
      </c>
      <c r="D320" s="9"/>
      <c r="E320" s="9"/>
      <c r="F320" s="9"/>
      <c r="G320" s="11"/>
      <c r="H320" s="9"/>
      <c r="I320" s="22"/>
      <c r="J320" s="24"/>
      <c r="K32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20" s="22"/>
    </row>
    <row r="321" spans="1:12" x14ac:dyDescent="0.25">
      <c r="A321" s="8"/>
      <c r="B321" s="1" t="str">
        <f>IF(Tabela2[[#This Row],[Data]]="","",PROPER(TEXT(Tabela2[[#This Row],[Data]],"mmm")))</f>
        <v/>
      </c>
      <c r="C321" s="1" t="str">
        <f>IF(Tabela2[[#This Row],[Data]]="","",PROPER(TEXT(Tabela2[[#This Row],[Data]],"ddd")))</f>
        <v/>
      </c>
      <c r="D321" s="9"/>
      <c r="E321" s="9"/>
      <c r="F321" s="9"/>
      <c r="G321" s="11"/>
      <c r="H321" s="9"/>
      <c r="I321" s="22"/>
      <c r="J321" s="24"/>
      <c r="K32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21" s="22"/>
    </row>
    <row r="322" spans="1:12" x14ac:dyDescent="0.25">
      <c r="A322" s="8"/>
      <c r="B322" s="1" t="str">
        <f>IF(Tabela2[[#This Row],[Data]]="","",PROPER(TEXT(Tabela2[[#This Row],[Data]],"mmm")))</f>
        <v/>
      </c>
      <c r="C322" s="1" t="str">
        <f>IF(Tabela2[[#This Row],[Data]]="","",PROPER(TEXT(Tabela2[[#This Row],[Data]],"ddd")))</f>
        <v/>
      </c>
      <c r="D322" s="9"/>
      <c r="E322" s="9"/>
      <c r="F322" s="9"/>
      <c r="G322" s="10"/>
      <c r="H322" s="9"/>
      <c r="I322" s="22"/>
      <c r="J322" s="24"/>
      <c r="K32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22" s="22"/>
    </row>
    <row r="323" spans="1:12" x14ac:dyDescent="0.25">
      <c r="A323" s="8"/>
      <c r="B323" s="1" t="str">
        <f>IF(Tabela2[[#This Row],[Data]]="","",PROPER(TEXT(Tabela2[[#This Row],[Data]],"mmm")))</f>
        <v/>
      </c>
      <c r="C323" s="1" t="str">
        <f>IF(Tabela2[[#This Row],[Data]]="","",PROPER(TEXT(Tabela2[[#This Row],[Data]],"ddd")))</f>
        <v/>
      </c>
      <c r="D323" s="9"/>
      <c r="E323" s="9"/>
      <c r="F323" s="9"/>
      <c r="G323" s="11"/>
      <c r="H323" s="9"/>
      <c r="I323" s="22"/>
      <c r="J323" s="24"/>
      <c r="K32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23" s="22"/>
    </row>
    <row r="324" spans="1:12" x14ac:dyDescent="0.25">
      <c r="A324" s="8"/>
      <c r="B324" s="1" t="str">
        <f>IF(Tabela2[[#This Row],[Data]]="","",PROPER(TEXT(Tabela2[[#This Row],[Data]],"mmm")))</f>
        <v/>
      </c>
      <c r="C324" s="1" t="str">
        <f>IF(Tabela2[[#This Row],[Data]]="","",PROPER(TEXT(Tabela2[[#This Row],[Data]],"ddd")))</f>
        <v/>
      </c>
      <c r="D324" s="9"/>
      <c r="E324" s="9"/>
      <c r="F324" s="9"/>
      <c r="G324" s="11"/>
      <c r="H324" s="9"/>
      <c r="I324" s="22"/>
      <c r="J324" s="24"/>
      <c r="K32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24" s="22"/>
    </row>
    <row r="325" spans="1:12" x14ac:dyDescent="0.25">
      <c r="A325" s="8"/>
      <c r="B325" s="1" t="str">
        <f>IF(Tabela2[[#This Row],[Data]]="","",PROPER(TEXT(Tabela2[[#This Row],[Data]],"mmm")))</f>
        <v/>
      </c>
      <c r="C325" s="1" t="str">
        <f>IF(Tabela2[[#This Row],[Data]]="","",PROPER(TEXT(Tabela2[[#This Row],[Data]],"ddd")))</f>
        <v/>
      </c>
      <c r="D325" s="9"/>
      <c r="E325" s="9"/>
      <c r="F325" s="9"/>
      <c r="G325" s="11"/>
      <c r="H325" s="9"/>
      <c r="I325" s="22"/>
      <c r="J325" s="24"/>
      <c r="K32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25" s="22"/>
    </row>
    <row r="326" spans="1:12" x14ac:dyDescent="0.25">
      <c r="A326" s="8"/>
      <c r="B326" s="1" t="str">
        <f>IF(Tabela2[[#This Row],[Data]]="","",PROPER(TEXT(Tabela2[[#This Row],[Data]],"mmm")))</f>
        <v/>
      </c>
      <c r="C326" s="1" t="str">
        <f>IF(Tabela2[[#This Row],[Data]]="","",PROPER(TEXT(Tabela2[[#This Row],[Data]],"ddd")))</f>
        <v/>
      </c>
      <c r="D326" s="9"/>
      <c r="E326" s="9"/>
      <c r="F326" s="9"/>
      <c r="G326" s="11"/>
      <c r="H326" s="9"/>
      <c r="I326" s="22"/>
      <c r="J326" s="24"/>
      <c r="K32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26" s="22"/>
    </row>
    <row r="327" spans="1:12" x14ac:dyDescent="0.25">
      <c r="A327" s="8"/>
      <c r="B327" s="1" t="str">
        <f>IF(Tabela2[[#This Row],[Data]]="","",PROPER(TEXT(Tabela2[[#This Row],[Data]],"mmm")))</f>
        <v/>
      </c>
      <c r="C327" s="1" t="str">
        <f>IF(Tabela2[[#This Row],[Data]]="","",PROPER(TEXT(Tabela2[[#This Row],[Data]],"ddd")))</f>
        <v/>
      </c>
      <c r="D327" s="9"/>
      <c r="E327" s="9"/>
      <c r="F327" s="9"/>
      <c r="G327" s="11"/>
      <c r="H327" s="9"/>
      <c r="I327" s="22"/>
      <c r="J327" s="24"/>
      <c r="K32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27" s="22"/>
    </row>
    <row r="328" spans="1:12" x14ac:dyDescent="0.25">
      <c r="A328" s="8"/>
      <c r="B328" s="1" t="str">
        <f>IF(Tabela2[[#This Row],[Data]]="","",PROPER(TEXT(Tabela2[[#This Row],[Data]],"mmm")))</f>
        <v/>
      </c>
      <c r="C328" s="1" t="str">
        <f>IF(Tabela2[[#This Row],[Data]]="","",PROPER(TEXT(Tabela2[[#This Row],[Data]],"ddd")))</f>
        <v/>
      </c>
      <c r="D328" s="9"/>
      <c r="E328" s="9"/>
      <c r="F328" s="9"/>
      <c r="G328" s="10"/>
      <c r="H328" s="9"/>
      <c r="I328" s="22"/>
      <c r="J328" s="24"/>
      <c r="K32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28" s="22"/>
    </row>
    <row r="329" spans="1:12" x14ac:dyDescent="0.25">
      <c r="A329" s="8"/>
      <c r="B329" s="1" t="str">
        <f>IF(Tabela2[[#This Row],[Data]]="","",PROPER(TEXT(Tabela2[[#This Row],[Data]],"mmm")))</f>
        <v/>
      </c>
      <c r="C329" s="1" t="str">
        <f>IF(Tabela2[[#This Row],[Data]]="","",PROPER(TEXT(Tabela2[[#This Row],[Data]],"ddd")))</f>
        <v/>
      </c>
      <c r="D329" s="9"/>
      <c r="E329" s="9"/>
      <c r="F329" s="9"/>
      <c r="G329" s="11"/>
      <c r="H329" s="9"/>
      <c r="I329" s="22"/>
      <c r="J329" s="24"/>
      <c r="K32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29" s="22"/>
    </row>
    <row r="330" spans="1:12" x14ac:dyDescent="0.25">
      <c r="A330" s="8"/>
      <c r="B330" s="1" t="str">
        <f>IF(Tabela2[[#This Row],[Data]]="","",PROPER(TEXT(Tabela2[[#This Row],[Data]],"mmm")))</f>
        <v/>
      </c>
      <c r="C330" s="1" t="str">
        <f>IF(Tabela2[[#This Row],[Data]]="","",PROPER(TEXT(Tabela2[[#This Row],[Data]],"ddd")))</f>
        <v/>
      </c>
      <c r="D330" s="9"/>
      <c r="E330" s="9"/>
      <c r="F330" s="9"/>
      <c r="G330" s="11"/>
      <c r="H330" s="9"/>
      <c r="I330" s="22"/>
      <c r="J330" s="24"/>
      <c r="K33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30" s="22"/>
    </row>
    <row r="331" spans="1:12" x14ac:dyDescent="0.25">
      <c r="A331" s="8"/>
      <c r="B331" s="1" t="str">
        <f>IF(Tabela2[[#This Row],[Data]]="","",PROPER(TEXT(Tabela2[[#This Row],[Data]],"mmm")))</f>
        <v/>
      </c>
      <c r="C331" s="1" t="str">
        <f>IF(Tabela2[[#This Row],[Data]]="","",PROPER(TEXT(Tabela2[[#This Row],[Data]],"ddd")))</f>
        <v/>
      </c>
      <c r="D331" s="9"/>
      <c r="E331" s="9"/>
      <c r="F331" s="9"/>
      <c r="G331" s="11"/>
      <c r="H331" s="9"/>
      <c r="I331" s="22"/>
      <c r="J331" s="24"/>
      <c r="K33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31" s="22"/>
    </row>
    <row r="332" spans="1:12" x14ac:dyDescent="0.25">
      <c r="A332" s="8"/>
      <c r="B332" s="1" t="str">
        <f>IF(Tabela2[[#This Row],[Data]]="","",PROPER(TEXT(Tabela2[[#This Row],[Data]],"mmm")))</f>
        <v/>
      </c>
      <c r="C332" s="1" t="str">
        <f>IF(Tabela2[[#This Row],[Data]]="","",PROPER(TEXT(Tabela2[[#This Row],[Data]],"ddd")))</f>
        <v/>
      </c>
      <c r="D332" s="9"/>
      <c r="E332" s="9"/>
      <c r="F332" s="9"/>
      <c r="G332" s="11"/>
      <c r="H332" s="9"/>
      <c r="I332" s="22"/>
      <c r="J332" s="24"/>
      <c r="K33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32" s="22"/>
    </row>
    <row r="333" spans="1:12" x14ac:dyDescent="0.25">
      <c r="A333" s="8"/>
      <c r="B333" s="1" t="str">
        <f>IF(Tabela2[[#This Row],[Data]]="","",PROPER(TEXT(Tabela2[[#This Row],[Data]],"mmm")))</f>
        <v/>
      </c>
      <c r="C333" s="1" t="str">
        <f>IF(Tabela2[[#This Row],[Data]]="","",PROPER(TEXT(Tabela2[[#This Row],[Data]],"ddd")))</f>
        <v/>
      </c>
      <c r="D333" s="9"/>
      <c r="E333" s="9"/>
      <c r="F333" s="9"/>
      <c r="G333" s="11"/>
      <c r="H333" s="9"/>
      <c r="I333" s="22"/>
      <c r="J333" s="24"/>
      <c r="K33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33" s="22"/>
    </row>
    <row r="334" spans="1:12" x14ac:dyDescent="0.25">
      <c r="A334" s="8"/>
      <c r="B334" s="1" t="str">
        <f>IF(Tabela2[[#This Row],[Data]]="","",PROPER(TEXT(Tabela2[[#This Row],[Data]],"mmm")))</f>
        <v/>
      </c>
      <c r="C334" s="1" t="str">
        <f>IF(Tabela2[[#This Row],[Data]]="","",PROPER(TEXT(Tabela2[[#This Row],[Data]],"ddd")))</f>
        <v/>
      </c>
      <c r="D334" s="9"/>
      <c r="E334" s="9"/>
      <c r="F334" s="9"/>
      <c r="G334" s="10"/>
      <c r="H334" s="9"/>
      <c r="I334" s="22"/>
      <c r="J334" s="24"/>
      <c r="K33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34" s="22"/>
    </row>
    <row r="335" spans="1:12" x14ac:dyDescent="0.25">
      <c r="A335" s="8"/>
      <c r="B335" s="1" t="str">
        <f>IF(Tabela2[[#This Row],[Data]]="","",PROPER(TEXT(Tabela2[[#This Row],[Data]],"mmm")))</f>
        <v/>
      </c>
      <c r="C335" s="1" t="str">
        <f>IF(Tabela2[[#This Row],[Data]]="","",PROPER(TEXT(Tabela2[[#This Row],[Data]],"ddd")))</f>
        <v/>
      </c>
      <c r="D335" s="9"/>
      <c r="E335" s="9"/>
      <c r="F335" s="9"/>
      <c r="G335" s="11"/>
      <c r="H335" s="9"/>
      <c r="I335" s="22"/>
      <c r="J335" s="24"/>
      <c r="K33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35" s="22"/>
    </row>
    <row r="336" spans="1:12" x14ac:dyDescent="0.25">
      <c r="A336" s="8"/>
      <c r="B336" s="1" t="str">
        <f>IF(Tabela2[[#This Row],[Data]]="","",PROPER(TEXT(Tabela2[[#This Row],[Data]],"mmm")))</f>
        <v/>
      </c>
      <c r="C336" s="1" t="str">
        <f>IF(Tabela2[[#This Row],[Data]]="","",PROPER(TEXT(Tabela2[[#This Row],[Data]],"ddd")))</f>
        <v/>
      </c>
      <c r="D336" s="9"/>
      <c r="E336" s="9"/>
      <c r="F336" s="9"/>
      <c r="G336" s="11"/>
      <c r="H336" s="9"/>
      <c r="I336" s="22"/>
      <c r="J336" s="24"/>
      <c r="K33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36" s="22"/>
    </row>
    <row r="337" spans="1:12" x14ac:dyDescent="0.25">
      <c r="A337" s="8"/>
      <c r="B337" s="1" t="str">
        <f>IF(Tabela2[[#This Row],[Data]]="","",PROPER(TEXT(Tabela2[[#This Row],[Data]],"mmm")))</f>
        <v/>
      </c>
      <c r="C337" s="1" t="str">
        <f>IF(Tabela2[[#This Row],[Data]]="","",PROPER(TEXT(Tabela2[[#This Row],[Data]],"ddd")))</f>
        <v/>
      </c>
      <c r="D337" s="9"/>
      <c r="E337" s="9"/>
      <c r="F337" s="9"/>
      <c r="G337" s="11"/>
      <c r="H337" s="9"/>
      <c r="I337" s="22"/>
      <c r="J337" s="24"/>
      <c r="K33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37" s="22"/>
    </row>
    <row r="338" spans="1:12" x14ac:dyDescent="0.25">
      <c r="A338" s="8"/>
      <c r="B338" s="1" t="str">
        <f>IF(Tabela2[[#This Row],[Data]]="","",PROPER(TEXT(Tabela2[[#This Row],[Data]],"mmm")))</f>
        <v/>
      </c>
      <c r="C338" s="1" t="str">
        <f>IF(Tabela2[[#This Row],[Data]]="","",PROPER(TEXT(Tabela2[[#This Row],[Data]],"ddd")))</f>
        <v/>
      </c>
      <c r="D338" s="9"/>
      <c r="E338" s="9"/>
      <c r="F338" s="9"/>
      <c r="G338" s="11"/>
      <c r="H338" s="9"/>
      <c r="I338" s="22"/>
      <c r="J338" s="24"/>
      <c r="K33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38" s="22"/>
    </row>
    <row r="339" spans="1:12" x14ac:dyDescent="0.25">
      <c r="A339" s="8"/>
      <c r="B339" s="1" t="str">
        <f>IF(Tabela2[[#This Row],[Data]]="","",PROPER(TEXT(Tabela2[[#This Row],[Data]],"mmm")))</f>
        <v/>
      </c>
      <c r="C339" s="1" t="str">
        <f>IF(Tabela2[[#This Row],[Data]]="","",PROPER(TEXT(Tabela2[[#This Row],[Data]],"ddd")))</f>
        <v/>
      </c>
      <c r="D339" s="9"/>
      <c r="E339" s="9"/>
      <c r="F339" s="9"/>
      <c r="G339" s="11"/>
      <c r="H339" s="9"/>
      <c r="I339" s="22"/>
      <c r="J339" s="24"/>
      <c r="K33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39" s="22"/>
    </row>
    <row r="340" spans="1:12" x14ac:dyDescent="0.25">
      <c r="A340" s="8"/>
      <c r="B340" s="1" t="str">
        <f>IF(Tabela2[[#This Row],[Data]]="","",PROPER(TEXT(Tabela2[[#This Row],[Data]],"mmm")))</f>
        <v/>
      </c>
      <c r="C340" s="1" t="str">
        <f>IF(Tabela2[[#This Row],[Data]]="","",PROPER(TEXT(Tabela2[[#This Row],[Data]],"ddd")))</f>
        <v/>
      </c>
      <c r="D340" s="9"/>
      <c r="E340" s="9"/>
      <c r="F340" s="9"/>
      <c r="G340" s="10"/>
      <c r="H340" s="9"/>
      <c r="I340" s="22"/>
      <c r="J340" s="24"/>
      <c r="K34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40" s="22"/>
    </row>
    <row r="341" spans="1:12" x14ac:dyDescent="0.25">
      <c r="A341" s="8"/>
      <c r="B341" s="1" t="str">
        <f>IF(Tabela2[[#This Row],[Data]]="","",PROPER(TEXT(Tabela2[[#This Row],[Data]],"mmm")))</f>
        <v/>
      </c>
      <c r="C341" s="1" t="str">
        <f>IF(Tabela2[[#This Row],[Data]]="","",PROPER(TEXT(Tabela2[[#This Row],[Data]],"ddd")))</f>
        <v/>
      </c>
      <c r="D341" s="9"/>
      <c r="E341" s="9"/>
      <c r="F341" s="9"/>
      <c r="G341" s="11"/>
      <c r="H341" s="9"/>
      <c r="I341" s="22"/>
      <c r="J341" s="24"/>
      <c r="K34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41" s="22"/>
    </row>
    <row r="342" spans="1:12" x14ac:dyDescent="0.25">
      <c r="A342" s="8"/>
      <c r="B342" s="1" t="str">
        <f>IF(Tabela2[[#This Row],[Data]]="","",PROPER(TEXT(Tabela2[[#This Row],[Data]],"mmm")))</f>
        <v/>
      </c>
      <c r="C342" s="1" t="str">
        <f>IF(Tabela2[[#This Row],[Data]]="","",PROPER(TEXT(Tabela2[[#This Row],[Data]],"ddd")))</f>
        <v/>
      </c>
      <c r="D342" s="9"/>
      <c r="E342" s="9"/>
      <c r="F342" s="9"/>
      <c r="G342" s="11"/>
      <c r="H342" s="9"/>
      <c r="I342" s="22"/>
      <c r="J342" s="24"/>
      <c r="K34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42" s="22"/>
    </row>
    <row r="343" spans="1:12" x14ac:dyDescent="0.25">
      <c r="A343" s="8"/>
      <c r="B343" s="1" t="str">
        <f>IF(Tabela2[[#This Row],[Data]]="","",PROPER(TEXT(Tabela2[[#This Row],[Data]],"mmm")))</f>
        <v/>
      </c>
      <c r="C343" s="1" t="str">
        <f>IF(Tabela2[[#This Row],[Data]]="","",PROPER(TEXT(Tabela2[[#This Row],[Data]],"ddd")))</f>
        <v/>
      </c>
      <c r="D343" s="9"/>
      <c r="E343" s="9"/>
      <c r="F343" s="9"/>
      <c r="G343" s="11"/>
      <c r="H343" s="9"/>
      <c r="I343" s="22"/>
      <c r="J343" s="24"/>
      <c r="K34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43" s="22"/>
    </row>
    <row r="344" spans="1:12" x14ac:dyDescent="0.25">
      <c r="A344" s="8"/>
      <c r="B344" s="1" t="str">
        <f>IF(Tabela2[[#This Row],[Data]]="","",PROPER(TEXT(Tabela2[[#This Row],[Data]],"mmm")))</f>
        <v/>
      </c>
      <c r="C344" s="1" t="str">
        <f>IF(Tabela2[[#This Row],[Data]]="","",PROPER(TEXT(Tabela2[[#This Row],[Data]],"ddd")))</f>
        <v/>
      </c>
      <c r="D344" s="9"/>
      <c r="E344" s="9"/>
      <c r="F344" s="9"/>
      <c r="G344" s="11"/>
      <c r="H344" s="9"/>
      <c r="I344" s="22"/>
      <c r="J344" s="24"/>
      <c r="K34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44" s="22"/>
    </row>
    <row r="345" spans="1:12" x14ac:dyDescent="0.25">
      <c r="A345" s="8"/>
      <c r="B345" s="1" t="str">
        <f>IF(Tabela2[[#This Row],[Data]]="","",PROPER(TEXT(Tabela2[[#This Row],[Data]],"mmm")))</f>
        <v/>
      </c>
      <c r="C345" s="1" t="str">
        <f>IF(Tabela2[[#This Row],[Data]]="","",PROPER(TEXT(Tabela2[[#This Row],[Data]],"ddd")))</f>
        <v/>
      </c>
      <c r="D345" s="9"/>
      <c r="E345" s="9"/>
      <c r="F345" s="9"/>
      <c r="G345" s="11"/>
      <c r="H345" s="9"/>
      <c r="I345" s="22"/>
      <c r="J345" s="24"/>
      <c r="K34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45" s="22"/>
    </row>
    <row r="346" spans="1:12" x14ac:dyDescent="0.25">
      <c r="A346" s="8"/>
      <c r="B346" s="1" t="str">
        <f>IF(Tabela2[[#This Row],[Data]]="","",PROPER(TEXT(Tabela2[[#This Row],[Data]],"mmm")))</f>
        <v/>
      </c>
      <c r="C346" s="1" t="str">
        <f>IF(Tabela2[[#This Row],[Data]]="","",PROPER(TEXT(Tabela2[[#This Row],[Data]],"ddd")))</f>
        <v/>
      </c>
      <c r="D346" s="9"/>
      <c r="E346" s="9"/>
      <c r="F346" s="9"/>
      <c r="G346" s="10"/>
      <c r="H346" s="9"/>
      <c r="I346" s="22"/>
      <c r="J346" s="24"/>
      <c r="K34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46" s="22"/>
    </row>
    <row r="347" spans="1:12" x14ac:dyDescent="0.25">
      <c r="A347" s="8"/>
      <c r="B347" s="1" t="str">
        <f>IF(Tabela2[[#This Row],[Data]]="","",PROPER(TEXT(Tabela2[[#This Row],[Data]],"mmm")))</f>
        <v/>
      </c>
      <c r="C347" s="1" t="str">
        <f>IF(Tabela2[[#This Row],[Data]]="","",PROPER(TEXT(Tabela2[[#This Row],[Data]],"ddd")))</f>
        <v/>
      </c>
      <c r="D347" s="9"/>
      <c r="E347" s="9"/>
      <c r="F347" s="9"/>
      <c r="G347" s="11"/>
      <c r="H347" s="9"/>
      <c r="I347" s="22"/>
      <c r="J347" s="24"/>
      <c r="K34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47" s="22"/>
    </row>
    <row r="348" spans="1:12" x14ac:dyDescent="0.25">
      <c r="A348" s="8"/>
      <c r="B348" s="1" t="str">
        <f>IF(Tabela2[[#This Row],[Data]]="","",PROPER(TEXT(Tabela2[[#This Row],[Data]],"mmm")))</f>
        <v/>
      </c>
      <c r="C348" s="1" t="str">
        <f>IF(Tabela2[[#This Row],[Data]]="","",PROPER(TEXT(Tabela2[[#This Row],[Data]],"ddd")))</f>
        <v/>
      </c>
      <c r="D348" s="9"/>
      <c r="E348" s="9"/>
      <c r="F348" s="9"/>
      <c r="G348" s="11"/>
      <c r="H348" s="9"/>
      <c r="I348" s="22"/>
      <c r="J348" s="24"/>
      <c r="K34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48" s="22"/>
    </row>
    <row r="349" spans="1:12" x14ac:dyDescent="0.25">
      <c r="A349" s="8"/>
      <c r="B349" s="1" t="str">
        <f>IF(Tabela2[[#This Row],[Data]]="","",PROPER(TEXT(Tabela2[[#This Row],[Data]],"mmm")))</f>
        <v/>
      </c>
      <c r="C349" s="1" t="str">
        <f>IF(Tabela2[[#This Row],[Data]]="","",PROPER(TEXT(Tabela2[[#This Row],[Data]],"ddd")))</f>
        <v/>
      </c>
      <c r="D349" s="9"/>
      <c r="E349" s="9"/>
      <c r="F349" s="9"/>
      <c r="G349" s="11"/>
      <c r="H349" s="9"/>
      <c r="I349" s="22"/>
      <c r="J349" s="24"/>
      <c r="K34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49" s="22"/>
    </row>
    <row r="350" spans="1:12" x14ac:dyDescent="0.25">
      <c r="A350" s="8"/>
      <c r="B350" s="1" t="str">
        <f>IF(Tabela2[[#This Row],[Data]]="","",PROPER(TEXT(Tabela2[[#This Row],[Data]],"mmm")))</f>
        <v/>
      </c>
      <c r="C350" s="1" t="str">
        <f>IF(Tabela2[[#This Row],[Data]]="","",PROPER(TEXT(Tabela2[[#This Row],[Data]],"ddd")))</f>
        <v/>
      </c>
      <c r="D350" s="9"/>
      <c r="E350" s="9"/>
      <c r="F350" s="9"/>
      <c r="G350" s="11"/>
      <c r="H350" s="9"/>
      <c r="I350" s="22"/>
      <c r="J350" s="24"/>
      <c r="K35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50" s="22"/>
    </row>
    <row r="351" spans="1:12" x14ac:dyDescent="0.25">
      <c r="A351" s="8"/>
      <c r="B351" s="1" t="str">
        <f>IF(Tabela2[[#This Row],[Data]]="","",PROPER(TEXT(Tabela2[[#This Row],[Data]],"mmm")))</f>
        <v/>
      </c>
      <c r="C351" s="1" t="str">
        <f>IF(Tabela2[[#This Row],[Data]]="","",PROPER(TEXT(Tabela2[[#This Row],[Data]],"ddd")))</f>
        <v/>
      </c>
      <c r="D351" s="9"/>
      <c r="E351" s="9"/>
      <c r="F351" s="9"/>
      <c r="G351" s="11"/>
      <c r="H351" s="9"/>
      <c r="I351" s="22"/>
      <c r="J351" s="24"/>
      <c r="K35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51" s="22"/>
    </row>
    <row r="352" spans="1:12" x14ac:dyDescent="0.25">
      <c r="A352" s="8"/>
      <c r="B352" s="1" t="str">
        <f>IF(Tabela2[[#This Row],[Data]]="","",PROPER(TEXT(Tabela2[[#This Row],[Data]],"mmm")))</f>
        <v/>
      </c>
      <c r="C352" s="1" t="str">
        <f>IF(Tabela2[[#This Row],[Data]]="","",PROPER(TEXT(Tabela2[[#This Row],[Data]],"ddd")))</f>
        <v/>
      </c>
      <c r="D352" s="9"/>
      <c r="E352" s="9"/>
      <c r="F352" s="9"/>
      <c r="G352" s="10"/>
      <c r="H352" s="9"/>
      <c r="I352" s="22"/>
      <c r="J352" s="24"/>
      <c r="K35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52" s="22"/>
    </row>
    <row r="353" spans="1:12" x14ac:dyDescent="0.25">
      <c r="A353" s="8"/>
      <c r="B353" s="1" t="str">
        <f>IF(Tabela2[[#This Row],[Data]]="","",PROPER(TEXT(Tabela2[[#This Row],[Data]],"mmm")))</f>
        <v/>
      </c>
      <c r="C353" s="1" t="str">
        <f>IF(Tabela2[[#This Row],[Data]]="","",PROPER(TEXT(Tabela2[[#This Row],[Data]],"ddd")))</f>
        <v/>
      </c>
      <c r="D353" s="9"/>
      <c r="E353" s="9"/>
      <c r="F353" s="9"/>
      <c r="G353" s="11"/>
      <c r="H353" s="9"/>
      <c r="I353" s="22"/>
      <c r="J353" s="24"/>
      <c r="K35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53" s="22"/>
    </row>
    <row r="354" spans="1:12" x14ac:dyDescent="0.25">
      <c r="A354" s="8"/>
      <c r="B354" s="1" t="str">
        <f>IF(Tabela2[[#This Row],[Data]]="","",PROPER(TEXT(Tabela2[[#This Row],[Data]],"mmm")))</f>
        <v/>
      </c>
      <c r="C354" s="1" t="str">
        <f>IF(Tabela2[[#This Row],[Data]]="","",PROPER(TEXT(Tabela2[[#This Row],[Data]],"ddd")))</f>
        <v/>
      </c>
      <c r="D354" s="9"/>
      <c r="E354" s="9"/>
      <c r="F354" s="9"/>
      <c r="G354" s="11"/>
      <c r="H354" s="9"/>
      <c r="I354" s="22"/>
      <c r="J354" s="24"/>
      <c r="K35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54" s="22"/>
    </row>
    <row r="355" spans="1:12" x14ac:dyDescent="0.25">
      <c r="A355" s="8"/>
      <c r="B355" s="1" t="str">
        <f>IF(Tabela2[[#This Row],[Data]]="","",PROPER(TEXT(Tabela2[[#This Row],[Data]],"mmm")))</f>
        <v/>
      </c>
      <c r="C355" s="1" t="str">
        <f>IF(Tabela2[[#This Row],[Data]]="","",PROPER(TEXT(Tabela2[[#This Row],[Data]],"ddd")))</f>
        <v/>
      </c>
      <c r="D355" s="9"/>
      <c r="E355" s="9"/>
      <c r="F355" s="9"/>
      <c r="G355" s="11"/>
      <c r="H355" s="9"/>
      <c r="I355" s="22"/>
      <c r="J355" s="24"/>
      <c r="K35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55" s="22"/>
    </row>
    <row r="356" spans="1:12" x14ac:dyDescent="0.25">
      <c r="A356" s="8"/>
      <c r="B356" s="1" t="str">
        <f>IF(Tabela2[[#This Row],[Data]]="","",PROPER(TEXT(Tabela2[[#This Row],[Data]],"mmm")))</f>
        <v/>
      </c>
      <c r="C356" s="1" t="str">
        <f>IF(Tabela2[[#This Row],[Data]]="","",PROPER(TEXT(Tabela2[[#This Row],[Data]],"ddd")))</f>
        <v/>
      </c>
      <c r="D356" s="9"/>
      <c r="E356" s="9"/>
      <c r="F356" s="9"/>
      <c r="G356" s="11"/>
      <c r="H356" s="9"/>
      <c r="I356" s="22"/>
      <c r="J356" s="24"/>
      <c r="K35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56" s="22"/>
    </row>
    <row r="357" spans="1:12" x14ac:dyDescent="0.25">
      <c r="A357" s="8"/>
      <c r="B357" s="1" t="str">
        <f>IF(Tabela2[[#This Row],[Data]]="","",PROPER(TEXT(Tabela2[[#This Row],[Data]],"mmm")))</f>
        <v/>
      </c>
      <c r="C357" s="1" t="str">
        <f>IF(Tabela2[[#This Row],[Data]]="","",PROPER(TEXT(Tabela2[[#This Row],[Data]],"ddd")))</f>
        <v/>
      </c>
      <c r="D357" s="9"/>
      <c r="E357" s="9"/>
      <c r="F357" s="9"/>
      <c r="G357" s="11"/>
      <c r="H357" s="9"/>
      <c r="I357" s="22"/>
      <c r="J357" s="24"/>
      <c r="K35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57" s="22"/>
    </row>
    <row r="358" spans="1:12" x14ac:dyDescent="0.25">
      <c r="A358" s="8"/>
      <c r="B358" s="1" t="str">
        <f>IF(Tabela2[[#This Row],[Data]]="","",PROPER(TEXT(Tabela2[[#This Row],[Data]],"mmm")))</f>
        <v/>
      </c>
      <c r="C358" s="1" t="str">
        <f>IF(Tabela2[[#This Row],[Data]]="","",PROPER(TEXT(Tabela2[[#This Row],[Data]],"ddd")))</f>
        <v/>
      </c>
      <c r="D358" s="9"/>
      <c r="E358" s="9"/>
      <c r="F358" s="9"/>
      <c r="G358" s="10"/>
      <c r="H358" s="9"/>
      <c r="I358" s="22"/>
      <c r="J358" s="24"/>
      <c r="K35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58" s="22"/>
    </row>
    <row r="359" spans="1:12" x14ac:dyDescent="0.25">
      <c r="A359" s="8"/>
      <c r="B359" s="1" t="str">
        <f>IF(Tabela2[[#This Row],[Data]]="","",PROPER(TEXT(Tabela2[[#This Row],[Data]],"mmm")))</f>
        <v/>
      </c>
      <c r="C359" s="1" t="str">
        <f>IF(Tabela2[[#This Row],[Data]]="","",PROPER(TEXT(Tabela2[[#This Row],[Data]],"ddd")))</f>
        <v/>
      </c>
      <c r="D359" s="9"/>
      <c r="E359" s="9"/>
      <c r="F359" s="9"/>
      <c r="G359" s="11"/>
      <c r="H359" s="9"/>
      <c r="I359" s="22"/>
      <c r="J359" s="24"/>
      <c r="K35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59" s="22"/>
    </row>
    <row r="360" spans="1:12" x14ac:dyDescent="0.25">
      <c r="A360" s="8"/>
      <c r="B360" s="1" t="str">
        <f>IF(Tabela2[[#This Row],[Data]]="","",PROPER(TEXT(Tabela2[[#This Row],[Data]],"mmm")))</f>
        <v/>
      </c>
      <c r="C360" s="1" t="str">
        <f>IF(Tabela2[[#This Row],[Data]]="","",PROPER(TEXT(Tabela2[[#This Row],[Data]],"ddd")))</f>
        <v/>
      </c>
      <c r="D360" s="9"/>
      <c r="E360" s="9"/>
      <c r="F360" s="9"/>
      <c r="G360" s="11"/>
      <c r="H360" s="9"/>
      <c r="I360" s="22"/>
      <c r="J360" s="24"/>
      <c r="K36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60" s="22"/>
    </row>
    <row r="361" spans="1:12" x14ac:dyDescent="0.25">
      <c r="A361" s="8"/>
      <c r="B361" s="1" t="str">
        <f>IF(Tabela2[[#This Row],[Data]]="","",PROPER(TEXT(Tabela2[[#This Row],[Data]],"mmm")))</f>
        <v/>
      </c>
      <c r="C361" s="1" t="str">
        <f>IF(Tabela2[[#This Row],[Data]]="","",PROPER(TEXT(Tabela2[[#This Row],[Data]],"ddd")))</f>
        <v/>
      </c>
      <c r="D361" s="9"/>
      <c r="E361" s="9"/>
      <c r="F361" s="9"/>
      <c r="G361" s="11"/>
      <c r="H361" s="9"/>
      <c r="I361" s="22"/>
      <c r="J361" s="24"/>
      <c r="K36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61" s="22"/>
    </row>
    <row r="362" spans="1:12" x14ac:dyDescent="0.25">
      <c r="A362" s="8"/>
      <c r="B362" s="1" t="str">
        <f>IF(Tabela2[[#This Row],[Data]]="","",PROPER(TEXT(Tabela2[[#This Row],[Data]],"mmm")))</f>
        <v/>
      </c>
      <c r="C362" s="1" t="str">
        <f>IF(Tabela2[[#This Row],[Data]]="","",PROPER(TEXT(Tabela2[[#This Row],[Data]],"ddd")))</f>
        <v/>
      </c>
      <c r="D362" s="9"/>
      <c r="E362" s="9"/>
      <c r="F362" s="9"/>
      <c r="G362" s="11"/>
      <c r="H362" s="9"/>
      <c r="I362" s="22"/>
      <c r="J362" s="24"/>
      <c r="K36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62" s="22"/>
    </row>
    <row r="363" spans="1:12" x14ac:dyDescent="0.25">
      <c r="A363" s="8"/>
      <c r="B363" s="1" t="str">
        <f>IF(Tabela2[[#This Row],[Data]]="","",PROPER(TEXT(Tabela2[[#This Row],[Data]],"mmm")))</f>
        <v/>
      </c>
      <c r="C363" s="1" t="str">
        <f>IF(Tabela2[[#This Row],[Data]]="","",PROPER(TEXT(Tabela2[[#This Row],[Data]],"ddd")))</f>
        <v/>
      </c>
      <c r="D363" s="9"/>
      <c r="E363" s="9"/>
      <c r="F363" s="9"/>
      <c r="G363" s="11"/>
      <c r="H363" s="9"/>
      <c r="I363" s="22"/>
      <c r="J363" s="24"/>
      <c r="K36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63" s="22"/>
    </row>
    <row r="364" spans="1:12" x14ac:dyDescent="0.25">
      <c r="A364" s="8"/>
      <c r="B364" s="1" t="str">
        <f>IF(Tabela2[[#This Row],[Data]]="","",PROPER(TEXT(Tabela2[[#This Row],[Data]],"mmm")))</f>
        <v/>
      </c>
      <c r="C364" s="1" t="str">
        <f>IF(Tabela2[[#This Row],[Data]]="","",PROPER(TEXT(Tabela2[[#This Row],[Data]],"ddd")))</f>
        <v/>
      </c>
      <c r="D364" s="9"/>
      <c r="E364" s="9"/>
      <c r="F364" s="9"/>
      <c r="G364" s="10"/>
      <c r="H364" s="9"/>
      <c r="I364" s="22"/>
      <c r="J364" s="24"/>
      <c r="K36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64" s="22"/>
    </row>
    <row r="365" spans="1:12" x14ac:dyDescent="0.25">
      <c r="A365" s="8"/>
      <c r="B365" s="1" t="str">
        <f>IF(Tabela2[[#This Row],[Data]]="","",PROPER(TEXT(Tabela2[[#This Row],[Data]],"mmm")))</f>
        <v/>
      </c>
      <c r="C365" s="1" t="str">
        <f>IF(Tabela2[[#This Row],[Data]]="","",PROPER(TEXT(Tabela2[[#This Row],[Data]],"ddd")))</f>
        <v/>
      </c>
      <c r="D365" s="9"/>
      <c r="E365" s="9"/>
      <c r="F365" s="9"/>
      <c r="G365" s="11"/>
      <c r="H365" s="9"/>
      <c r="I365" s="22"/>
      <c r="J365" s="24"/>
      <c r="K36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65" s="22"/>
    </row>
    <row r="366" spans="1:12" x14ac:dyDescent="0.25">
      <c r="A366" s="8"/>
      <c r="B366" s="1" t="str">
        <f>IF(Tabela2[[#This Row],[Data]]="","",PROPER(TEXT(Tabela2[[#This Row],[Data]],"mmm")))</f>
        <v/>
      </c>
      <c r="C366" s="1" t="str">
        <f>IF(Tabela2[[#This Row],[Data]]="","",PROPER(TEXT(Tabela2[[#This Row],[Data]],"ddd")))</f>
        <v/>
      </c>
      <c r="D366" s="9"/>
      <c r="E366" s="9"/>
      <c r="F366" s="9"/>
      <c r="G366" s="11"/>
      <c r="H366" s="9"/>
      <c r="I366" s="22"/>
      <c r="J366" s="24"/>
      <c r="K36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66" s="22"/>
    </row>
    <row r="367" spans="1:12" x14ac:dyDescent="0.25">
      <c r="A367" s="8"/>
      <c r="B367" s="1" t="str">
        <f>IF(Tabela2[[#This Row],[Data]]="","",PROPER(TEXT(Tabela2[[#This Row],[Data]],"mmm")))</f>
        <v/>
      </c>
      <c r="C367" s="1" t="str">
        <f>IF(Tabela2[[#This Row],[Data]]="","",PROPER(TEXT(Tabela2[[#This Row],[Data]],"ddd")))</f>
        <v/>
      </c>
      <c r="D367" s="9"/>
      <c r="E367" s="9"/>
      <c r="F367" s="9"/>
      <c r="G367" s="11"/>
      <c r="H367" s="9"/>
      <c r="I367" s="22"/>
      <c r="J367" s="24"/>
      <c r="K36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67" s="22"/>
    </row>
    <row r="368" spans="1:12" x14ac:dyDescent="0.25">
      <c r="A368" s="8"/>
      <c r="B368" s="1" t="str">
        <f>IF(Tabela2[[#This Row],[Data]]="","",PROPER(TEXT(Tabela2[[#This Row],[Data]],"mmm")))</f>
        <v/>
      </c>
      <c r="C368" s="1" t="str">
        <f>IF(Tabela2[[#This Row],[Data]]="","",PROPER(TEXT(Tabela2[[#This Row],[Data]],"ddd")))</f>
        <v/>
      </c>
      <c r="D368" s="9"/>
      <c r="E368" s="9"/>
      <c r="F368" s="9"/>
      <c r="G368" s="11"/>
      <c r="H368" s="9"/>
      <c r="I368" s="22"/>
      <c r="J368" s="24"/>
      <c r="K36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68" s="22"/>
    </row>
    <row r="369" spans="1:12" x14ac:dyDescent="0.25">
      <c r="A369" s="8"/>
      <c r="B369" s="1" t="str">
        <f>IF(Tabela2[[#This Row],[Data]]="","",PROPER(TEXT(Tabela2[[#This Row],[Data]],"mmm")))</f>
        <v/>
      </c>
      <c r="C369" s="1" t="str">
        <f>IF(Tabela2[[#This Row],[Data]]="","",PROPER(TEXT(Tabela2[[#This Row],[Data]],"ddd")))</f>
        <v/>
      </c>
      <c r="D369" s="9"/>
      <c r="E369" s="9"/>
      <c r="F369" s="9"/>
      <c r="G369" s="11"/>
      <c r="H369" s="9"/>
      <c r="I369" s="22"/>
      <c r="J369" s="24"/>
      <c r="K36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69" s="22"/>
    </row>
    <row r="370" spans="1:12" x14ac:dyDescent="0.25">
      <c r="A370" s="8"/>
      <c r="B370" s="1" t="str">
        <f>IF(Tabela2[[#This Row],[Data]]="","",PROPER(TEXT(Tabela2[[#This Row],[Data]],"mmm")))</f>
        <v/>
      </c>
      <c r="C370" s="1" t="str">
        <f>IF(Tabela2[[#This Row],[Data]]="","",PROPER(TEXT(Tabela2[[#This Row],[Data]],"ddd")))</f>
        <v/>
      </c>
      <c r="D370" s="9"/>
      <c r="E370" s="9"/>
      <c r="F370" s="9"/>
      <c r="G370" s="10"/>
      <c r="H370" s="9"/>
      <c r="I370" s="22"/>
      <c r="J370" s="24"/>
      <c r="K37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70" s="22"/>
    </row>
    <row r="371" spans="1:12" x14ac:dyDescent="0.25">
      <c r="A371" s="8"/>
      <c r="B371" s="1" t="str">
        <f>IF(Tabela2[[#This Row],[Data]]="","",PROPER(TEXT(Tabela2[[#This Row],[Data]],"mmm")))</f>
        <v/>
      </c>
      <c r="C371" s="1" t="str">
        <f>IF(Tabela2[[#This Row],[Data]]="","",PROPER(TEXT(Tabela2[[#This Row],[Data]],"ddd")))</f>
        <v/>
      </c>
      <c r="D371" s="9"/>
      <c r="E371" s="9"/>
      <c r="F371" s="9"/>
      <c r="G371" s="11"/>
      <c r="H371" s="9"/>
      <c r="I371" s="22"/>
      <c r="J371" s="24"/>
      <c r="K37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71" s="22"/>
    </row>
    <row r="372" spans="1:12" x14ac:dyDescent="0.25">
      <c r="A372" s="8"/>
      <c r="B372" s="1" t="str">
        <f>IF(Tabela2[[#This Row],[Data]]="","",PROPER(TEXT(Tabela2[[#This Row],[Data]],"mmm")))</f>
        <v/>
      </c>
      <c r="C372" s="1" t="str">
        <f>IF(Tabela2[[#This Row],[Data]]="","",PROPER(TEXT(Tabela2[[#This Row],[Data]],"ddd")))</f>
        <v/>
      </c>
      <c r="D372" s="9"/>
      <c r="E372" s="9"/>
      <c r="F372" s="9"/>
      <c r="G372" s="11"/>
      <c r="H372" s="9"/>
      <c r="I372" s="22"/>
      <c r="J372" s="24"/>
      <c r="K37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72" s="22"/>
    </row>
    <row r="373" spans="1:12" x14ac:dyDescent="0.25">
      <c r="A373" s="8"/>
      <c r="B373" s="1" t="str">
        <f>IF(Tabela2[[#This Row],[Data]]="","",PROPER(TEXT(Tabela2[[#This Row],[Data]],"mmm")))</f>
        <v/>
      </c>
      <c r="C373" s="1" t="str">
        <f>IF(Tabela2[[#This Row],[Data]]="","",PROPER(TEXT(Tabela2[[#This Row],[Data]],"ddd")))</f>
        <v/>
      </c>
      <c r="D373" s="9"/>
      <c r="E373" s="9"/>
      <c r="F373" s="9"/>
      <c r="G373" s="11"/>
      <c r="H373" s="9"/>
      <c r="I373" s="22"/>
      <c r="J373" s="24"/>
      <c r="K37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73" s="22"/>
    </row>
    <row r="374" spans="1:12" x14ac:dyDescent="0.25">
      <c r="A374" s="12"/>
      <c r="B374" s="1" t="str">
        <f>IF(Tabela2[[#This Row],[Data]]="","",PROPER(TEXT(Tabela2[[#This Row],[Data]],"mmm")))</f>
        <v/>
      </c>
      <c r="C374" s="1" t="str">
        <f>IF(Tabela2[[#This Row],[Data]]="","",PROPER(TEXT(Tabela2[[#This Row],[Data]],"ddd")))</f>
        <v/>
      </c>
      <c r="D374" s="9"/>
      <c r="E374" s="9"/>
      <c r="F374" s="9"/>
      <c r="G374" s="11"/>
      <c r="H374" s="9"/>
      <c r="I374" s="22"/>
      <c r="J374" s="25"/>
      <c r="K374" s="43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74" s="23"/>
    </row>
    <row r="375" spans="1:12" x14ac:dyDescent="0.25">
      <c r="A375" s="13"/>
      <c r="B375" s="7" t="str">
        <f>IF(Tabela2[[#This Row],[Data]]="","",PROPER(TEXT(Tabela2[[#This Row],[Data]],"mmm")))</f>
        <v/>
      </c>
      <c r="C375" s="1" t="str">
        <f>IF(Tabela2[[#This Row],[Data]]="","",PROPER(TEXT(Tabela2[[#This Row],[Data]],"ddd")))</f>
        <v/>
      </c>
      <c r="D375" s="9"/>
      <c r="E375" s="9"/>
      <c r="F375" s="9"/>
      <c r="G375" s="11"/>
      <c r="H375" s="9"/>
      <c r="I375" s="22"/>
      <c r="J375" s="24"/>
      <c r="K37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75" s="22"/>
    </row>
    <row r="376" spans="1:12" x14ac:dyDescent="0.25">
      <c r="A376" s="13"/>
      <c r="B376" s="7" t="str">
        <f>IF(Tabela2[[#This Row],[Data]]="","",PROPER(TEXT(Tabela2[[#This Row],[Data]],"mmm")))</f>
        <v/>
      </c>
      <c r="C376" s="1" t="str">
        <f>IF(Tabela2[[#This Row],[Data]]="","",PROPER(TEXT(Tabela2[[#This Row],[Data]],"ddd")))</f>
        <v/>
      </c>
      <c r="D376" s="9"/>
      <c r="E376" s="9"/>
      <c r="F376" s="9"/>
      <c r="G376" s="11"/>
      <c r="H376" s="9"/>
      <c r="I376" s="22"/>
      <c r="J376" s="24"/>
      <c r="K37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76" s="22"/>
    </row>
    <row r="377" spans="1:12" x14ac:dyDescent="0.25">
      <c r="A377" s="13"/>
      <c r="B377" s="7" t="str">
        <f>IF(Tabela2[[#This Row],[Data]]="","",PROPER(TEXT(Tabela2[[#This Row],[Data]],"mmm")))</f>
        <v/>
      </c>
      <c r="C377" s="1" t="str">
        <f>IF(Tabela2[[#This Row],[Data]]="","",PROPER(TEXT(Tabela2[[#This Row],[Data]],"ddd")))</f>
        <v/>
      </c>
      <c r="D377" s="9"/>
      <c r="E377" s="9"/>
      <c r="F377" s="9"/>
      <c r="G377" s="11"/>
      <c r="H377" s="9"/>
      <c r="I377" s="22"/>
      <c r="J377" s="24"/>
      <c r="K37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77" s="22"/>
    </row>
    <row r="378" spans="1:12" x14ac:dyDescent="0.25">
      <c r="A378" s="13"/>
      <c r="B378" s="7" t="str">
        <f>IF(Tabela2[[#This Row],[Data]]="","",PROPER(TEXT(Tabela2[[#This Row],[Data]],"mmm")))</f>
        <v/>
      </c>
      <c r="C378" s="1" t="str">
        <f>IF(Tabela2[[#This Row],[Data]]="","",PROPER(TEXT(Tabela2[[#This Row],[Data]],"ddd")))</f>
        <v/>
      </c>
      <c r="D378" s="9"/>
      <c r="E378" s="9"/>
      <c r="F378" s="9"/>
      <c r="G378" s="11"/>
      <c r="H378" s="9"/>
      <c r="I378" s="22"/>
      <c r="J378" s="24"/>
      <c r="K37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78" s="22"/>
    </row>
    <row r="379" spans="1:12" x14ac:dyDescent="0.25">
      <c r="A379" s="13"/>
      <c r="B379" s="7" t="str">
        <f>IF(Tabela2[[#This Row],[Data]]="","",PROPER(TEXT(Tabela2[[#This Row],[Data]],"mmm")))</f>
        <v/>
      </c>
      <c r="C379" s="1" t="str">
        <f>IF(Tabela2[[#This Row],[Data]]="","",PROPER(TEXT(Tabela2[[#This Row],[Data]],"ddd")))</f>
        <v/>
      </c>
      <c r="D379" s="9"/>
      <c r="E379" s="9"/>
      <c r="F379" s="9"/>
      <c r="G379" s="11"/>
      <c r="H379" s="9"/>
      <c r="I379" s="22"/>
      <c r="J379" s="24"/>
      <c r="K37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79" s="22"/>
    </row>
    <row r="380" spans="1:12" x14ac:dyDescent="0.25">
      <c r="A380" s="13"/>
      <c r="B380" s="7" t="str">
        <f>IF(Tabela2[[#This Row],[Data]]="","",PROPER(TEXT(Tabela2[[#This Row],[Data]],"mmm")))</f>
        <v/>
      </c>
      <c r="C380" s="1" t="str">
        <f>IF(Tabela2[[#This Row],[Data]]="","",PROPER(TEXT(Tabela2[[#This Row],[Data]],"ddd")))</f>
        <v/>
      </c>
      <c r="D380" s="9"/>
      <c r="E380" s="9"/>
      <c r="F380" s="9"/>
      <c r="G380" s="11"/>
      <c r="H380" s="9"/>
      <c r="I380" s="22"/>
      <c r="J380" s="24"/>
      <c r="K38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80" s="22"/>
    </row>
    <row r="381" spans="1:12" x14ac:dyDescent="0.25">
      <c r="A381" s="13"/>
      <c r="B381" s="7" t="str">
        <f>IF(Tabela2[[#This Row],[Data]]="","",PROPER(TEXT(Tabela2[[#This Row],[Data]],"mmm")))</f>
        <v/>
      </c>
      <c r="C381" s="1" t="str">
        <f>IF(Tabela2[[#This Row],[Data]]="","",PROPER(TEXT(Tabela2[[#This Row],[Data]],"ddd")))</f>
        <v/>
      </c>
      <c r="D381" s="9"/>
      <c r="E381" s="9"/>
      <c r="F381" s="9"/>
      <c r="G381" s="11"/>
      <c r="H381" s="9"/>
      <c r="I381" s="22"/>
      <c r="J381" s="24"/>
      <c r="K38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81" s="22"/>
    </row>
    <row r="382" spans="1:12" x14ac:dyDescent="0.25">
      <c r="A382" s="13"/>
      <c r="B382" s="7" t="str">
        <f>IF(Tabela2[[#This Row],[Data]]="","",PROPER(TEXT(Tabela2[[#This Row],[Data]],"mmm")))</f>
        <v/>
      </c>
      <c r="C382" s="1" t="str">
        <f>IF(Tabela2[[#This Row],[Data]]="","",PROPER(TEXT(Tabela2[[#This Row],[Data]],"ddd")))</f>
        <v/>
      </c>
      <c r="D382" s="9"/>
      <c r="E382" s="9"/>
      <c r="F382" s="9"/>
      <c r="G382" s="11"/>
      <c r="H382" s="9"/>
      <c r="I382" s="22"/>
      <c r="J382" s="24"/>
      <c r="K38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82" s="22"/>
    </row>
    <row r="383" spans="1:12" x14ac:dyDescent="0.25">
      <c r="A383" s="13"/>
      <c r="B383" s="7" t="str">
        <f>IF(Tabela2[[#This Row],[Data]]="","",PROPER(TEXT(Tabela2[[#This Row],[Data]],"mmm")))</f>
        <v/>
      </c>
      <c r="C383" s="1" t="str">
        <f>IF(Tabela2[[#This Row],[Data]]="","",PROPER(TEXT(Tabela2[[#This Row],[Data]],"ddd")))</f>
        <v/>
      </c>
      <c r="D383" s="9"/>
      <c r="E383" s="9"/>
      <c r="F383" s="9"/>
      <c r="G383" s="11"/>
      <c r="H383" s="9"/>
      <c r="I383" s="22"/>
      <c r="J383" s="24"/>
      <c r="K38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83" s="22"/>
    </row>
    <row r="384" spans="1:12" x14ac:dyDescent="0.25">
      <c r="A384" s="13"/>
      <c r="B384" s="7" t="str">
        <f>IF(Tabela2[[#This Row],[Data]]="","",PROPER(TEXT(Tabela2[[#This Row],[Data]],"mmm")))</f>
        <v/>
      </c>
      <c r="C384" s="1" t="str">
        <f>IF(Tabela2[[#This Row],[Data]]="","",PROPER(TEXT(Tabela2[[#This Row],[Data]],"ddd")))</f>
        <v/>
      </c>
      <c r="D384" s="9"/>
      <c r="E384" s="9"/>
      <c r="F384" s="9"/>
      <c r="G384" s="11"/>
      <c r="H384" s="9"/>
      <c r="I384" s="22"/>
      <c r="J384" s="24"/>
      <c r="K38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84" s="22"/>
    </row>
    <row r="385" spans="1:12" x14ac:dyDescent="0.25">
      <c r="A385" s="13"/>
      <c r="B385" s="7" t="str">
        <f>IF(Tabela2[[#This Row],[Data]]="","",PROPER(TEXT(Tabela2[[#This Row],[Data]],"mmm")))</f>
        <v/>
      </c>
      <c r="C385" s="1" t="str">
        <f>IF(Tabela2[[#This Row],[Data]]="","",PROPER(TEXT(Tabela2[[#This Row],[Data]],"ddd")))</f>
        <v/>
      </c>
      <c r="D385" s="9"/>
      <c r="E385" s="9"/>
      <c r="F385" s="9"/>
      <c r="G385" s="11"/>
      <c r="H385" s="9"/>
      <c r="I385" s="22"/>
      <c r="J385" s="24"/>
      <c r="K38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85" s="22"/>
    </row>
    <row r="386" spans="1:12" x14ac:dyDescent="0.25">
      <c r="A386" s="13"/>
      <c r="B386" s="7" t="str">
        <f>IF(Tabela2[[#This Row],[Data]]="","",PROPER(TEXT(Tabela2[[#This Row],[Data]],"mmm")))</f>
        <v/>
      </c>
      <c r="C386" s="1" t="str">
        <f>IF(Tabela2[[#This Row],[Data]]="","",PROPER(TEXT(Tabela2[[#This Row],[Data]],"ddd")))</f>
        <v/>
      </c>
      <c r="D386" s="9"/>
      <c r="E386" s="9"/>
      <c r="F386" s="9"/>
      <c r="G386" s="11"/>
      <c r="H386" s="9"/>
      <c r="I386" s="22"/>
      <c r="J386" s="24"/>
      <c r="K38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86" s="22"/>
    </row>
    <row r="387" spans="1:12" x14ac:dyDescent="0.25">
      <c r="A387" s="13"/>
      <c r="B387" s="7" t="str">
        <f>IF(Tabela2[[#This Row],[Data]]="","",PROPER(TEXT(Tabela2[[#This Row],[Data]],"mmm")))</f>
        <v/>
      </c>
      <c r="C387" s="1" t="str">
        <f>IF(Tabela2[[#This Row],[Data]]="","",PROPER(TEXT(Tabela2[[#This Row],[Data]],"ddd")))</f>
        <v/>
      </c>
      <c r="D387" s="9"/>
      <c r="E387" s="9"/>
      <c r="F387" s="9"/>
      <c r="G387" s="11"/>
      <c r="H387" s="9"/>
      <c r="I387" s="22"/>
      <c r="J387" s="24"/>
      <c r="K38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87" s="22"/>
    </row>
    <row r="388" spans="1:12" x14ac:dyDescent="0.25">
      <c r="A388" s="13"/>
      <c r="B388" s="7" t="str">
        <f>IF(Tabela2[[#This Row],[Data]]="","",PROPER(TEXT(Tabela2[[#This Row],[Data]],"mmm")))</f>
        <v/>
      </c>
      <c r="C388" s="1" t="str">
        <f>IF(Tabela2[[#This Row],[Data]]="","",PROPER(TEXT(Tabela2[[#This Row],[Data]],"ddd")))</f>
        <v/>
      </c>
      <c r="D388" s="9"/>
      <c r="E388" s="9"/>
      <c r="F388" s="9"/>
      <c r="G388" s="11"/>
      <c r="H388" s="9"/>
      <c r="I388" s="22"/>
      <c r="J388" s="24"/>
      <c r="K38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88" s="22"/>
    </row>
    <row r="389" spans="1:12" x14ac:dyDescent="0.25">
      <c r="A389" s="13"/>
      <c r="B389" s="7" t="str">
        <f>IF(Tabela2[[#This Row],[Data]]="","",PROPER(TEXT(Tabela2[[#This Row],[Data]],"mmm")))</f>
        <v/>
      </c>
      <c r="C389" s="1" t="str">
        <f>IF(Tabela2[[#This Row],[Data]]="","",PROPER(TEXT(Tabela2[[#This Row],[Data]],"ddd")))</f>
        <v/>
      </c>
      <c r="D389" s="9"/>
      <c r="E389" s="9"/>
      <c r="F389" s="9"/>
      <c r="G389" s="11"/>
      <c r="H389" s="9"/>
      <c r="I389" s="22"/>
      <c r="J389" s="24"/>
      <c r="K38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89" s="22"/>
    </row>
    <row r="390" spans="1:12" x14ac:dyDescent="0.25">
      <c r="A390" s="13"/>
      <c r="B390" s="7" t="str">
        <f>IF(Tabela2[[#This Row],[Data]]="","",PROPER(TEXT(Tabela2[[#This Row],[Data]],"mmm")))</f>
        <v/>
      </c>
      <c r="C390" s="1" t="str">
        <f>IF(Tabela2[[#This Row],[Data]]="","",PROPER(TEXT(Tabela2[[#This Row],[Data]],"ddd")))</f>
        <v/>
      </c>
      <c r="D390" s="9"/>
      <c r="E390" s="9"/>
      <c r="F390" s="9"/>
      <c r="G390" s="11"/>
      <c r="H390" s="9"/>
      <c r="I390" s="22"/>
      <c r="J390" s="24"/>
      <c r="K39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90" s="22"/>
    </row>
    <row r="391" spans="1:12" x14ac:dyDescent="0.25">
      <c r="A391" s="13"/>
      <c r="B391" s="7" t="str">
        <f>IF(Tabela2[[#This Row],[Data]]="","",PROPER(TEXT(Tabela2[[#This Row],[Data]],"mmm")))</f>
        <v/>
      </c>
      <c r="C391" s="1" t="str">
        <f>IF(Tabela2[[#This Row],[Data]]="","",PROPER(TEXT(Tabela2[[#This Row],[Data]],"ddd")))</f>
        <v/>
      </c>
      <c r="D391" s="9"/>
      <c r="E391" s="9"/>
      <c r="F391" s="9"/>
      <c r="G391" s="11"/>
      <c r="H391" s="9"/>
      <c r="I391" s="22"/>
      <c r="J391" s="24"/>
      <c r="K39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91" s="22"/>
    </row>
    <row r="392" spans="1:12" x14ac:dyDescent="0.25">
      <c r="A392" s="13"/>
      <c r="B392" s="7" t="str">
        <f>IF(Tabela2[[#This Row],[Data]]="","",PROPER(TEXT(Tabela2[[#This Row],[Data]],"mmm")))</f>
        <v/>
      </c>
      <c r="C392" s="1" t="str">
        <f>IF(Tabela2[[#This Row],[Data]]="","",PROPER(TEXT(Tabela2[[#This Row],[Data]],"ddd")))</f>
        <v/>
      </c>
      <c r="D392" s="9"/>
      <c r="E392" s="9"/>
      <c r="F392" s="9"/>
      <c r="G392" s="11"/>
      <c r="H392" s="9"/>
      <c r="I392" s="22"/>
      <c r="J392" s="24"/>
      <c r="K39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92" s="22"/>
    </row>
    <row r="393" spans="1:12" x14ac:dyDescent="0.25">
      <c r="A393" s="13"/>
      <c r="B393" s="7" t="str">
        <f>IF(Tabela2[[#This Row],[Data]]="","",PROPER(TEXT(Tabela2[[#This Row],[Data]],"mmm")))</f>
        <v/>
      </c>
      <c r="C393" s="1" t="str">
        <f>IF(Tabela2[[#This Row],[Data]]="","",PROPER(TEXT(Tabela2[[#This Row],[Data]],"ddd")))</f>
        <v/>
      </c>
      <c r="D393" s="9"/>
      <c r="E393" s="9"/>
      <c r="F393" s="9"/>
      <c r="G393" s="11"/>
      <c r="H393" s="9"/>
      <c r="I393" s="22"/>
      <c r="J393" s="24"/>
      <c r="K39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93" s="22"/>
    </row>
    <row r="394" spans="1:12" x14ac:dyDescent="0.25">
      <c r="A394" s="13"/>
      <c r="B394" s="7" t="str">
        <f>IF(Tabela2[[#This Row],[Data]]="","",PROPER(TEXT(Tabela2[[#This Row],[Data]],"mmm")))</f>
        <v/>
      </c>
      <c r="C394" s="1" t="str">
        <f>IF(Tabela2[[#This Row],[Data]]="","",PROPER(TEXT(Tabela2[[#This Row],[Data]],"ddd")))</f>
        <v/>
      </c>
      <c r="D394" s="9"/>
      <c r="E394" s="9"/>
      <c r="F394" s="9"/>
      <c r="G394" s="11"/>
      <c r="H394" s="9"/>
      <c r="I394" s="22"/>
      <c r="J394" s="24"/>
      <c r="K39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94" s="22"/>
    </row>
    <row r="395" spans="1:12" x14ac:dyDescent="0.25">
      <c r="A395" s="13"/>
      <c r="B395" s="7" t="str">
        <f>IF(Tabela2[[#This Row],[Data]]="","",PROPER(TEXT(Tabela2[[#This Row],[Data]],"mmm")))</f>
        <v/>
      </c>
      <c r="C395" s="1" t="str">
        <f>IF(Tabela2[[#This Row],[Data]]="","",PROPER(TEXT(Tabela2[[#This Row],[Data]],"ddd")))</f>
        <v/>
      </c>
      <c r="D395" s="9"/>
      <c r="E395" s="9"/>
      <c r="F395" s="9"/>
      <c r="G395" s="11"/>
      <c r="H395" s="9"/>
      <c r="I395" s="22"/>
      <c r="J395" s="24"/>
      <c r="K39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95" s="22"/>
    </row>
    <row r="396" spans="1:12" x14ac:dyDescent="0.25">
      <c r="A396" s="13"/>
      <c r="B396" s="7" t="str">
        <f>IF(Tabela2[[#This Row],[Data]]="","",PROPER(TEXT(Tabela2[[#This Row],[Data]],"mmm")))</f>
        <v/>
      </c>
      <c r="C396" s="1" t="str">
        <f>IF(Tabela2[[#This Row],[Data]]="","",PROPER(TEXT(Tabela2[[#This Row],[Data]],"ddd")))</f>
        <v/>
      </c>
      <c r="D396" s="9"/>
      <c r="E396" s="9"/>
      <c r="F396" s="9"/>
      <c r="G396" s="11"/>
      <c r="H396" s="9"/>
      <c r="I396" s="22"/>
      <c r="J396" s="24"/>
      <c r="K39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96" s="22"/>
    </row>
    <row r="397" spans="1:12" x14ac:dyDescent="0.25">
      <c r="A397" s="13"/>
      <c r="B397" s="7" t="str">
        <f>IF(Tabela2[[#This Row],[Data]]="","",PROPER(TEXT(Tabela2[[#This Row],[Data]],"mmm")))</f>
        <v/>
      </c>
      <c r="C397" s="1" t="str">
        <f>IF(Tabela2[[#This Row],[Data]]="","",PROPER(TEXT(Tabela2[[#This Row],[Data]],"ddd")))</f>
        <v/>
      </c>
      <c r="D397" s="9"/>
      <c r="E397" s="9"/>
      <c r="F397" s="9"/>
      <c r="G397" s="11"/>
      <c r="H397" s="9"/>
      <c r="I397" s="22"/>
      <c r="J397" s="24"/>
      <c r="K39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97" s="22"/>
    </row>
    <row r="398" spans="1:12" x14ac:dyDescent="0.25">
      <c r="A398" s="13"/>
      <c r="B398" s="7" t="str">
        <f>IF(Tabela2[[#This Row],[Data]]="","",PROPER(TEXT(Tabela2[[#This Row],[Data]],"mmm")))</f>
        <v/>
      </c>
      <c r="C398" s="1" t="str">
        <f>IF(Tabela2[[#This Row],[Data]]="","",PROPER(TEXT(Tabela2[[#This Row],[Data]],"ddd")))</f>
        <v/>
      </c>
      <c r="D398" s="9"/>
      <c r="E398" s="9"/>
      <c r="F398" s="9"/>
      <c r="G398" s="11"/>
      <c r="H398" s="9"/>
      <c r="I398" s="22"/>
      <c r="J398" s="24"/>
      <c r="K39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98" s="22"/>
    </row>
    <row r="399" spans="1:12" x14ac:dyDescent="0.25">
      <c r="A399" s="13"/>
      <c r="B399" s="7" t="str">
        <f>IF(Tabela2[[#This Row],[Data]]="","",PROPER(TEXT(Tabela2[[#This Row],[Data]],"mmm")))</f>
        <v/>
      </c>
      <c r="C399" s="1" t="str">
        <f>IF(Tabela2[[#This Row],[Data]]="","",PROPER(TEXT(Tabela2[[#This Row],[Data]],"ddd")))</f>
        <v/>
      </c>
      <c r="D399" s="9"/>
      <c r="E399" s="9"/>
      <c r="F399" s="9"/>
      <c r="G399" s="11"/>
      <c r="H399" s="9"/>
      <c r="I399" s="22"/>
      <c r="J399" s="24"/>
      <c r="K39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399" s="22"/>
    </row>
    <row r="400" spans="1:12" x14ac:dyDescent="0.25">
      <c r="A400" s="13"/>
      <c r="B400" s="7" t="str">
        <f>IF(Tabela2[[#This Row],[Data]]="","",PROPER(TEXT(Tabela2[[#This Row],[Data]],"mmm")))</f>
        <v/>
      </c>
      <c r="C400" s="1" t="str">
        <f>IF(Tabela2[[#This Row],[Data]]="","",PROPER(TEXT(Tabela2[[#This Row],[Data]],"ddd")))</f>
        <v/>
      </c>
      <c r="D400" s="9"/>
      <c r="E400" s="9"/>
      <c r="F400" s="9"/>
      <c r="G400" s="11"/>
      <c r="H400" s="9"/>
      <c r="I400" s="22"/>
      <c r="J400" s="24"/>
      <c r="K40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00" s="22"/>
    </row>
    <row r="401" spans="1:12" x14ac:dyDescent="0.25">
      <c r="A401" s="13"/>
      <c r="B401" s="7" t="str">
        <f>IF(Tabela2[[#This Row],[Data]]="","",PROPER(TEXT(Tabela2[[#This Row],[Data]],"mmm")))</f>
        <v/>
      </c>
      <c r="C401" s="1" t="str">
        <f>IF(Tabela2[[#This Row],[Data]]="","",PROPER(TEXT(Tabela2[[#This Row],[Data]],"ddd")))</f>
        <v/>
      </c>
      <c r="D401" s="9"/>
      <c r="E401" s="9"/>
      <c r="F401" s="9"/>
      <c r="G401" s="11"/>
      <c r="H401" s="9"/>
      <c r="I401" s="22"/>
      <c r="J401" s="24"/>
      <c r="K40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01" s="22"/>
    </row>
    <row r="402" spans="1:12" x14ac:dyDescent="0.25">
      <c r="A402" s="13"/>
      <c r="B402" s="7" t="str">
        <f>IF(Tabela2[[#This Row],[Data]]="","",PROPER(TEXT(Tabela2[[#This Row],[Data]],"mmm")))</f>
        <v/>
      </c>
      <c r="C402" s="1" t="str">
        <f>IF(Tabela2[[#This Row],[Data]]="","",PROPER(TEXT(Tabela2[[#This Row],[Data]],"ddd")))</f>
        <v/>
      </c>
      <c r="D402" s="9"/>
      <c r="E402" s="9"/>
      <c r="F402" s="9"/>
      <c r="G402" s="11"/>
      <c r="H402" s="9"/>
      <c r="I402" s="22"/>
      <c r="J402" s="24"/>
      <c r="K40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02" s="22"/>
    </row>
    <row r="403" spans="1:12" x14ac:dyDescent="0.25">
      <c r="A403" s="13"/>
      <c r="B403" s="7" t="str">
        <f>IF(Tabela2[[#This Row],[Data]]="","",PROPER(TEXT(Tabela2[[#This Row],[Data]],"mmm")))</f>
        <v/>
      </c>
      <c r="C403" s="1" t="str">
        <f>IF(Tabela2[[#This Row],[Data]]="","",PROPER(TEXT(Tabela2[[#This Row],[Data]],"ddd")))</f>
        <v/>
      </c>
      <c r="D403" s="9"/>
      <c r="E403" s="9"/>
      <c r="F403" s="9"/>
      <c r="G403" s="11"/>
      <c r="H403" s="9"/>
      <c r="I403" s="22"/>
      <c r="J403" s="24"/>
      <c r="K40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03" s="22"/>
    </row>
    <row r="404" spans="1:12" x14ac:dyDescent="0.25">
      <c r="A404" s="13"/>
      <c r="B404" s="7" t="str">
        <f>IF(Tabela2[[#This Row],[Data]]="","",PROPER(TEXT(Tabela2[[#This Row],[Data]],"mmm")))</f>
        <v/>
      </c>
      <c r="C404" s="1" t="str">
        <f>IF(Tabela2[[#This Row],[Data]]="","",PROPER(TEXT(Tabela2[[#This Row],[Data]],"ddd")))</f>
        <v/>
      </c>
      <c r="D404" s="9"/>
      <c r="E404" s="9"/>
      <c r="F404" s="9"/>
      <c r="G404" s="11"/>
      <c r="H404" s="9"/>
      <c r="I404" s="22"/>
      <c r="J404" s="24"/>
      <c r="K40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04" s="22"/>
    </row>
    <row r="405" spans="1:12" x14ac:dyDescent="0.25">
      <c r="A405" s="13"/>
      <c r="B405" s="7" t="str">
        <f>IF(Tabela2[[#This Row],[Data]]="","",PROPER(TEXT(Tabela2[[#This Row],[Data]],"mmm")))</f>
        <v/>
      </c>
      <c r="C405" s="1" t="str">
        <f>IF(Tabela2[[#This Row],[Data]]="","",PROPER(TEXT(Tabela2[[#This Row],[Data]],"ddd")))</f>
        <v/>
      </c>
      <c r="D405" s="9"/>
      <c r="E405" s="9"/>
      <c r="F405" s="9"/>
      <c r="G405" s="11"/>
      <c r="H405" s="9"/>
      <c r="I405" s="22"/>
      <c r="J405" s="24"/>
      <c r="K40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05" s="22"/>
    </row>
    <row r="406" spans="1:12" x14ac:dyDescent="0.25">
      <c r="A406" s="13"/>
      <c r="B406" s="7" t="str">
        <f>IF(Tabela2[[#This Row],[Data]]="","",PROPER(TEXT(Tabela2[[#This Row],[Data]],"mmm")))</f>
        <v/>
      </c>
      <c r="C406" s="1" t="str">
        <f>IF(Tabela2[[#This Row],[Data]]="","",PROPER(TEXT(Tabela2[[#This Row],[Data]],"ddd")))</f>
        <v/>
      </c>
      <c r="D406" s="9"/>
      <c r="E406" s="9"/>
      <c r="F406" s="9"/>
      <c r="G406" s="11"/>
      <c r="H406" s="9"/>
      <c r="I406" s="22"/>
      <c r="J406" s="24"/>
      <c r="K40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06" s="22"/>
    </row>
    <row r="407" spans="1:12" x14ac:dyDescent="0.25">
      <c r="A407" s="13"/>
      <c r="B407" s="7" t="str">
        <f>IF(Tabela2[[#This Row],[Data]]="","",PROPER(TEXT(Tabela2[[#This Row],[Data]],"mmm")))</f>
        <v/>
      </c>
      <c r="C407" s="1" t="str">
        <f>IF(Tabela2[[#This Row],[Data]]="","",PROPER(TEXT(Tabela2[[#This Row],[Data]],"ddd")))</f>
        <v/>
      </c>
      <c r="D407" s="9"/>
      <c r="E407" s="9"/>
      <c r="F407" s="9"/>
      <c r="G407" s="11"/>
      <c r="H407" s="9"/>
      <c r="I407" s="22"/>
      <c r="J407" s="24"/>
      <c r="K40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07" s="22"/>
    </row>
    <row r="408" spans="1:12" x14ac:dyDescent="0.25">
      <c r="A408" s="13"/>
      <c r="B408" s="7" t="str">
        <f>IF(Tabela2[[#This Row],[Data]]="","",PROPER(TEXT(Tabela2[[#This Row],[Data]],"mmm")))</f>
        <v/>
      </c>
      <c r="C408" s="1" t="str">
        <f>IF(Tabela2[[#This Row],[Data]]="","",PROPER(TEXT(Tabela2[[#This Row],[Data]],"ddd")))</f>
        <v/>
      </c>
      <c r="D408" s="9"/>
      <c r="E408" s="9"/>
      <c r="F408" s="9"/>
      <c r="G408" s="11"/>
      <c r="H408" s="9"/>
      <c r="I408" s="22"/>
      <c r="J408" s="24"/>
      <c r="K40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08" s="22"/>
    </row>
    <row r="409" spans="1:12" x14ac:dyDescent="0.25">
      <c r="A409" s="13"/>
      <c r="B409" s="7" t="str">
        <f>IF(Tabela2[[#This Row],[Data]]="","",PROPER(TEXT(Tabela2[[#This Row],[Data]],"mmm")))</f>
        <v/>
      </c>
      <c r="C409" s="1" t="str">
        <f>IF(Tabela2[[#This Row],[Data]]="","",PROPER(TEXT(Tabela2[[#This Row],[Data]],"ddd")))</f>
        <v/>
      </c>
      <c r="D409" s="9"/>
      <c r="E409" s="9"/>
      <c r="F409" s="9"/>
      <c r="G409" s="11"/>
      <c r="H409" s="9"/>
      <c r="I409" s="22"/>
      <c r="J409" s="24"/>
      <c r="K40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09" s="22"/>
    </row>
    <row r="410" spans="1:12" x14ac:dyDescent="0.25">
      <c r="A410" s="13"/>
      <c r="B410" s="7" t="str">
        <f>IF(Tabela2[[#This Row],[Data]]="","",PROPER(TEXT(Tabela2[[#This Row],[Data]],"mmm")))</f>
        <v/>
      </c>
      <c r="C410" s="1" t="str">
        <f>IF(Tabela2[[#This Row],[Data]]="","",PROPER(TEXT(Tabela2[[#This Row],[Data]],"ddd")))</f>
        <v/>
      </c>
      <c r="D410" s="9"/>
      <c r="E410" s="9"/>
      <c r="F410" s="9"/>
      <c r="G410" s="11"/>
      <c r="H410" s="9"/>
      <c r="I410" s="22"/>
      <c r="J410" s="24"/>
      <c r="K41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10" s="22"/>
    </row>
    <row r="411" spans="1:12" x14ac:dyDescent="0.25">
      <c r="A411" s="13"/>
      <c r="B411" s="7" t="str">
        <f>IF(Tabela2[[#This Row],[Data]]="","",PROPER(TEXT(Tabela2[[#This Row],[Data]],"mmm")))</f>
        <v/>
      </c>
      <c r="C411" s="1" t="str">
        <f>IF(Tabela2[[#This Row],[Data]]="","",PROPER(TEXT(Tabela2[[#This Row],[Data]],"ddd")))</f>
        <v/>
      </c>
      <c r="D411" s="9"/>
      <c r="E411" s="9"/>
      <c r="F411" s="9"/>
      <c r="G411" s="11"/>
      <c r="H411" s="9"/>
      <c r="I411" s="22"/>
      <c r="J411" s="24"/>
      <c r="K41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11" s="22"/>
    </row>
    <row r="412" spans="1:12" x14ac:dyDescent="0.25">
      <c r="A412" s="13"/>
      <c r="B412" s="7" t="str">
        <f>IF(Tabela2[[#This Row],[Data]]="","",PROPER(TEXT(Tabela2[[#This Row],[Data]],"mmm")))</f>
        <v/>
      </c>
      <c r="C412" s="1" t="str">
        <f>IF(Tabela2[[#This Row],[Data]]="","",PROPER(TEXT(Tabela2[[#This Row],[Data]],"ddd")))</f>
        <v/>
      </c>
      <c r="D412" s="9"/>
      <c r="E412" s="9"/>
      <c r="F412" s="9"/>
      <c r="G412" s="11"/>
      <c r="H412" s="9"/>
      <c r="I412" s="22"/>
      <c r="J412" s="24"/>
      <c r="K41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12" s="22"/>
    </row>
    <row r="413" spans="1:12" x14ac:dyDescent="0.25">
      <c r="A413" s="13"/>
      <c r="B413" s="7" t="str">
        <f>IF(Tabela2[[#This Row],[Data]]="","",PROPER(TEXT(Tabela2[[#This Row],[Data]],"mmm")))</f>
        <v/>
      </c>
      <c r="C413" s="1" t="str">
        <f>IF(Tabela2[[#This Row],[Data]]="","",PROPER(TEXT(Tabela2[[#This Row],[Data]],"ddd")))</f>
        <v/>
      </c>
      <c r="D413" s="9"/>
      <c r="E413" s="9"/>
      <c r="F413" s="9"/>
      <c r="G413" s="11"/>
      <c r="H413" s="9"/>
      <c r="I413" s="22"/>
      <c r="J413" s="24"/>
      <c r="K41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13" s="22"/>
    </row>
    <row r="414" spans="1:12" x14ac:dyDescent="0.25">
      <c r="A414" s="13"/>
      <c r="B414" s="7" t="str">
        <f>IF(Tabela2[[#This Row],[Data]]="","",PROPER(TEXT(Tabela2[[#This Row],[Data]],"mmm")))</f>
        <v/>
      </c>
      <c r="C414" s="1" t="str">
        <f>IF(Tabela2[[#This Row],[Data]]="","",PROPER(TEXT(Tabela2[[#This Row],[Data]],"ddd")))</f>
        <v/>
      </c>
      <c r="D414" s="9"/>
      <c r="E414" s="9"/>
      <c r="F414" s="9"/>
      <c r="G414" s="11"/>
      <c r="H414" s="9"/>
      <c r="I414" s="22"/>
      <c r="J414" s="24"/>
      <c r="K41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14" s="22"/>
    </row>
    <row r="415" spans="1:12" x14ac:dyDescent="0.25">
      <c r="A415" s="13"/>
      <c r="B415" s="7" t="str">
        <f>IF(Tabela2[[#This Row],[Data]]="","",PROPER(TEXT(Tabela2[[#This Row],[Data]],"mmm")))</f>
        <v/>
      </c>
      <c r="C415" s="1" t="str">
        <f>IF(Tabela2[[#This Row],[Data]]="","",PROPER(TEXT(Tabela2[[#This Row],[Data]],"ddd")))</f>
        <v/>
      </c>
      <c r="D415" s="9"/>
      <c r="E415" s="9"/>
      <c r="F415" s="9"/>
      <c r="G415" s="11"/>
      <c r="H415" s="9"/>
      <c r="I415" s="22"/>
      <c r="J415" s="24"/>
      <c r="K41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15" s="22"/>
    </row>
    <row r="416" spans="1:12" x14ac:dyDescent="0.25">
      <c r="A416" s="13"/>
      <c r="B416" s="7" t="str">
        <f>IF(Tabela2[[#This Row],[Data]]="","",PROPER(TEXT(Tabela2[[#This Row],[Data]],"mmm")))</f>
        <v/>
      </c>
      <c r="C416" s="1" t="str">
        <f>IF(Tabela2[[#This Row],[Data]]="","",PROPER(TEXT(Tabela2[[#This Row],[Data]],"ddd")))</f>
        <v/>
      </c>
      <c r="D416" s="9"/>
      <c r="E416" s="9"/>
      <c r="F416" s="9"/>
      <c r="G416" s="11"/>
      <c r="H416" s="9"/>
      <c r="I416" s="22"/>
      <c r="J416" s="24"/>
      <c r="K41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16" s="22"/>
    </row>
    <row r="417" spans="1:12" x14ac:dyDescent="0.25">
      <c r="A417" s="13"/>
      <c r="B417" s="7" t="str">
        <f>IF(Tabela2[[#This Row],[Data]]="","",PROPER(TEXT(Tabela2[[#This Row],[Data]],"mmm")))</f>
        <v/>
      </c>
      <c r="C417" s="1" t="str">
        <f>IF(Tabela2[[#This Row],[Data]]="","",PROPER(TEXT(Tabela2[[#This Row],[Data]],"ddd")))</f>
        <v/>
      </c>
      <c r="D417" s="9"/>
      <c r="E417" s="9"/>
      <c r="F417" s="9"/>
      <c r="G417" s="11"/>
      <c r="H417" s="9"/>
      <c r="I417" s="22"/>
      <c r="J417" s="24"/>
      <c r="K41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17" s="22"/>
    </row>
    <row r="418" spans="1:12" x14ac:dyDescent="0.25">
      <c r="A418" s="13"/>
      <c r="B418" s="7" t="str">
        <f>IF(Tabela2[[#This Row],[Data]]="","",PROPER(TEXT(Tabela2[[#This Row],[Data]],"mmm")))</f>
        <v/>
      </c>
      <c r="C418" s="1" t="str">
        <f>IF(Tabela2[[#This Row],[Data]]="","",PROPER(TEXT(Tabela2[[#This Row],[Data]],"ddd")))</f>
        <v/>
      </c>
      <c r="D418" s="9"/>
      <c r="E418" s="9"/>
      <c r="F418" s="9"/>
      <c r="G418" s="11"/>
      <c r="H418" s="9"/>
      <c r="I418" s="22"/>
      <c r="J418" s="24"/>
      <c r="K41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18" s="22"/>
    </row>
    <row r="419" spans="1:12" x14ac:dyDescent="0.25">
      <c r="A419" s="13"/>
      <c r="B419" s="7" t="str">
        <f>IF(Tabela2[[#This Row],[Data]]="","",PROPER(TEXT(Tabela2[[#This Row],[Data]],"mmm")))</f>
        <v/>
      </c>
      <c r="C419" s="1" t="str">
        <f>IF(Tabela2[[#This Row],[Data]]="","",PROPER(TEXT(Tabela2[[#This Row],[Data]],"ddd")))</f>
        <v/>
      </c>
      <c r="D419" s="9"/>
      <c r="E419" s="9"/>
      <c r="F419" s="9"/>
      <c r="G419" s="11"/>
      <c r="H419" s="9"/>
      <c r="I419" s="22"/>
      <c r="J419" s="24"/>
      <c r="K41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19" s="22"/>
    </row>
    <row r="420" spans="1:12" x14ac:dyDescent="0.25">
      <c r="A420" s="13"/>
      <c r="B420" s="7" t="str">
        <f>IF(Tabela2[[#This Row],[Data]]="","",PROPER(TEXT(Tabela2[[#This Row],[Data]],"mmm")))</f>
        <v/>
      </c>
      <c r="C420" s="1" t="str">
        <f>IF(Tabela2[[#This Row],[Data]]="","",PROPER(TEXT(Tabela2[[#This Row],[Data]],"ddd")))</f>
        <v/>
      </c>
      <c r="D420" s="9"/>
      <c r="E420" s="9"/>
      <c r="F420" s="9"/>
      <c r="G420" s="11"/>
      <c r="H420" s="9"/>
      <c r="I420" s="22"/>
      <c r="J420" s="24"/>
      <c r="K42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20" s="22"/>
    </row>
    <row r="421" spans="1:12" x14ac:dyDescent="0.25">
      <c r="A421" s="13"/>
      <c r="B421" s="7" t="str">
        <f>IF(Tabela2[[#This Row],[Data]]="","",PROPER(TEXT(Tabela2[[#This Row],[Data]],"mmm")))</f>
        <v/>
      </c>
      <c r="C421" s="1" t="str">
        <f>IF(Tabela2[[#This Row],[Data]]="","",PROPER(TEXT(Tabela2[[#This Row],[Data]],"ddd")))</f>
        <v/>
      </c>
      <c r="D421" s="9"/>
      <c r="E421" s="9"/>
      <c r="F421" s="9"/>
      <c r="G421" s="11"/>
      <c r="H421" s="9"/>
      <c r="I421" s="22"/>
      <c r="J421" s="24"/>
      <c r="K42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21" s="22"/>
    </row>
    <row r="422" spans="1:12" x14ac:dyDescent="0.25">
      <c r="A422" s="13"/>
      <c r="B422" s="7" t="str">
        <f>IF(Tabela2[[#This Row],[Data]]="","",PROPER(TEXT(Tabela2[[#This Row],[Data]],"mmm")))</f>
        <v/>
      </c>
      <c r="C422" s="1" t="str">
        <f>IF(Tabela2[[#This Row],[Data]]="","",PROPER(TEXT(Tabela2[[#This Row],[Data]],"ddd")))</f>
        <v/>
      </c>
      <c r="D422" s="9"/>
      <c r="E422" s="9"/>
      <c r="F422" s="9"/>
      <c r="G422" s="11"/>
      <c r="H422" s="9"/>
      <c r="I422" s="22"/>
      <c r="J422" s="24"/>
      <c r="K42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22" s="22"/>
    </row>
    <row r="423" spans="1:12" x14ac:dyDescent="0.25">
      <c r="A423" s="13"/>
      <c r="B423" s="7" t="str">
        <f>IF(Tabela2[[#This Row],[Data]]="","",PROPER(TEXT(Tabela2[[#This Row],[Data]],"mmm")))</f>
        <v/>
      </c>
      <c r="C423" s="1" t="str">
        <f>IF(Tabela2[[#This Row],[Data]]="","",PROPER(TEXT(Tabela2[[#This Row],[Data]],"ddd")))</f>
        <v/>
      </c>
      <c r="D423" s="9"/>
      <c r="E423" s="9"/>
      <c r="F423" s="9"/>
      <c r="G423" s="11"/>
      <c r="H423" s="9"/>
      <c r="I423" s="22"/>
      <c r="J423" s="24"/>
      <c r="K42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23" s="22"/>
    </row>
    <row r="424" spans="1:12" x14ac:dyDescent="0.25">
      <c r="A424" s="13"/>
      <c r="B424" s="7" t="str">
        <f>IF(Tabela2[[#This Row],[Data]]="","",PROPER(TEXT(Tabela2[[#This Row],[Data]],"mmm")))</f>
        <v/>
      </c>
      <c r="C424" s="1" t="str">
        <f>IF(Tabela2[[#This Row],[Data]]="","",PROPER(TEXT(Tabela2[[#This Row],[Data]],"ddd")))</f>
        <v/>
      </c>
      <c r="D424" s="9"/>
      <c r="E424" s="9"/>
      <c r="F424" s="9"/>
      <c r="G424" s="11"/>
      <c r="H424" s="9"/>
      <c r="I424" s="22"/>
      <c r="J424" s="24"/>
      <c r="K42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24" s="22"/>
    </row>
    <row r="425" spans="1:12" x14ac:dyDescent="0.25">
      <c r="A425" s="13"/>
      <c r="B425" s="7" t="str">
        <f>IF(Tabela2[[#This Row],[Data]]="","",PROPER(TEXT(Tabela2[[#This Row],[Data]],"mmm")))</f>
        <v/>
      </c>
      <c r="C425" s="1" t="str">
        <f>IF(Tabela2[[#This Row],[Data]]="","",PROPER(TEXT(Tabela2[[#This Row],[Data]],"ddd")))</f>
        <v/>
      </c>
      <c r="D425" s="9"/>
      <c r="E425" s="9"/>
      <c r="F425" s="9"/>
      <c r="G425" s="11"/>
      <c r="H425" s="9"/>
      <c r="I425" s="22"/>
      <c r="J425" s="24"/>
      <c r="K42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25" s="22"/>
    </row>
    <row r="426" spans="1:12" x14ac:dyDescent="0.25">
      <c r="A426" s="13"/>
      <c r="B426" s="7" t="str">
        <f>IF(Tabela2[[#This Row],[Data]]="","",PROPER(TEXT(Tabela2[[#This Row],[Data]],"mmm")))</f>
        <v/>
      </c>
      <c r="C426" s="1" t="str">
        <f>IF(Tabela2[[#This Row],[Data]]="","",PROPER(TEXT(Tabela2[[#This Row],[Data]],"ddd")))</f>
        <v/>
      </c>
      <c r="D426" s="9"/>
      <c r="E426" s="9"/>
      <c r="F426" s="9"/>
      <c r="G426" s="11"/>
      <c r="H426" s="9"/>
      <c r="I426" s="22"/>
      <c r="J426" s="24"/>
      <c r="K42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26" s="22"/>
    </row>
    <row r="427" spans="1:12" x14ac:dyDescent="0.25">
      <c r="A427" s="13"/>
      <c r="B427" s="7" t="str">
        <f>IF(Tabela2[[#This Row],[Data]]="","",PROPER(TEXT(Tabela2[[#This Row],[Data]],"mmm")))</f>
        <v/>
      </c>
      <c r="C427" s="1" t="str">
        <f>IF(Tabela2[[#This Row],[Data]]="","",PROPER(TEXT(Tabela2[[#This Row],[Data]],"ddd")))</f>
        <v/>
      </c>
      <c r="D427" s="9"/>
      <c r="E427" s="9"/>
      <c r="F427" s="9"/>
      <c r="G427" s="11"/>
      <c r="H427" s="9"/>
      <c r="I427" s="22"/>
      <c r="J427" s="24"/>
      <c r="K42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27" s="22"/>
    </row>
    <row r="428" spans="1:12" x14ac:dyDescent="0.25">
      <c r="A428" s="13"/>
      <c r="B428" s="7" t="str">
        <f>IF(Tabela2[[#This Row],[Data]]="","",PROPER(TEXT(Tabela2[[#This Row],[Data]],"mmm")))</f>
        <v/>
      </c>
      <c r="C428" s="1" t="str">
        <f>IF(Tabela2[[#This Row],[Data]]="","",PROPER(TEXT(Tabela2[[#This Row],[Data]],"ddd")))</f>
        <v/>
      </c>
      <c r="D428" s="9"/>
      <c r="E428" s="9"/>
      <c r="F428" s="9"/>
      <c r="G428" s="11"/>
      <c r="H428" s="9"/>
      <c r="I428" s="22"/>
      <c r="J428" s="24"/>
      <c r="K42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28" s="22"/>
    </row>
    <row r="429" spans="1:12" x14ac:dyDescent="0.25">
      <c r="A429" s="13"/>
      <c r="B429" s="7" t="str">
        <f>IF(Tabela2[[#This Row],[Data]]="","",PROPER(TEXT(Tabela2[[#This Row],[Data]],"mmm")))</f>
        <v/>
      </c>
      <c r="C429" s="1" t="str">
        <f>IF(Tabela2[[#This Row],[Data]]="","",PROPER(TEXT(Tabela2[[#This Row],[Data]],"ddd")))</f>
        <v/>
      </c>
      <c r="D429" s="9"/>
      <c r="E429" s="9"/>
      <c r="F429" s="9"/>
      <c r="G429" s="11"/>
      <c r="H429" s="9"/>
      <c r="I429" s="22"/>
      <c r="J429" s="24"/>
      <c r="K42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29" s="22"/>
    </row>
    <row r="430" spans="1:12" x14ac:dyDescent="0.25">
      <c r="A430" s="13"/>
      <c r="B430" s="7" t="str">
        <f>IF(Tabela2[[#This Row],[Data]]="","",PROPER(TEXT(Tabela2[[#This Row],[Data]],"mmm")))</f>
        <v/>
      </c>
      <c r="C430" s="1" t="str">
        <f>IF(Tabela2[[#This Row],[Data]]="","",PROPER(TEXT(Tabela2[[#This Row],[Data]],"ddd")))</f>
        <v/>
      </c>
      <c r="D430" s="9"/>
      <c r="E430" s="9"/>
      <c r="F430" s="9"/>
      <c r="G430" s="11"/>
      <c r="H430" s="9"/>
      <c r="I430" s="22"/>
      <c r="J430" s="24"/>
      <c r="K43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30" s="22"/>
    </row>
    <row r="431" spans="1:12" x14ac:dyDescent="0.25">
      <c r="A431" s="13"/>
      <c r="B431" s="7" t="str">
        <f>IF(Tabela2[[#This Row],[Data]]="","",PROPER(TEXT(Tabela2[[#This Row],[Data]],"mmm")))</f>
        <v/>
      </c>
      <c r="C431" s="1" t="str">
        <f>IF(Tabela2[[#This Row],[Data]]="","",PROPER(TEXT(Tabela2[[#This Row],[Data]],"ddd")))</f>
        <v/>
      </c>
      <c r="D431" s="9"/>
      <c r="E431" s="9"/>
      <c r="F431" s="9"/>
      <c r="G431" s="11"/>
      <c r="H431" s="9"/>
      <c r="I431" s="22"/>
      <c r="J431" s="24"/>
      <c r="K43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31" s="22"/>
    </row>
    <row r="432" spans="1:12" x14ac:dyDescent="0.25">
      <c r="A432" s="13"/>
      <c r="B432" s="7" t="str">
        <f>IF(Tabela2[[#This Row],[Data]]="","",PROPER(TEXT(Tabela2[[#This Row],[Data]],"mmm")))</f>
        <v/>
      </c>
      <c r="C432" s="1" t="str">
        <f>IF(Tabela2[[#This Row],[Data]]="","",PROPER(TEXT(Tabela2[[#This Row],[Data]],"ddd")))</f>
        <v/>
      </c>
      <c r="D432" s="9"/>
      <c r="E432" s="9"/>
      <c r="F432" s="9"/>
      <c r="G432" s="11"/>
      <c r="H432" s="9"/>
      <c r="I432" s="22"/>
      <c r="J432" s="24"/>
      <c r="K43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32" s="22"/>
    </row>
    <row r="433" spans="1:12" x14ac:dyDescent="0.25">
      <c r="A433" s="13"/>
      <c r="B433" s="7" t="str">
        <f>IF(Tabela2[[#This Row],[Data]]="","",PROPER(TEXT(Tabela2[[#This Row],[Data]],"mmm")))</f>
        <v/>
      </c>
      <c r="C433" s="1" t="str">
        <f>IF(Tabela2[[#This Row],[Data]]="","",PROPER(TEXT(Tabela2[[#This Row],[Data]],"ddd")))</f>
        <v/>
      </c>
      <c r="D433" s="9"/>
      <c r="E433" s="9"/>
      <c r="F433" s="9"/>
      <c r="G433" s="11"/>
      <c r="H433" s="9"/>
      <c r="I433" s="22"/>
      <c r="J433" s="24"/>
      <c r="K43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33" s="22"/>
    </row>
    <row r="434" spans="1:12" x14ac:dyDescent="0.25">
      <c r="A434" s="13"/>
      <c r="B434" s="7" t="str">
        <f>IF(Tabela2[[#This Row],[Data]]="","",PROPER(TEXT(Tabela2[[#This Row],[Data]],"mmm")))</f>
        <v/>
      </c>
      <c r="C434" s="1" t="str">
        <f>IF(Tabela2[[#This Row],[Data]]="","",PROPER(TEXT(Tabela2[[#This Row],[Data]],"ddd")))</f>
        <v/>
      </c>
      <c r="D434" s="9"/>
      <c r="E434" s="9"/>
      <c r="F434" s="9"/>
      <c r="G434" s="11"/>
      <c r="H434" s="9"/>
      <c r="I434" s="22"/>
      <c r="J434" s="24"/>
      <c r="K43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34" s="22"/>
    </row>
    <row r="435" spans="1:12" x14ac:dyDescent="0.25">
      <c r="A435" s="13"/>
      <c r="B435" s="7" t="str">
        <f>IF(Tabela2[[#This Row],[Data]]="","",PROPER(TEXT(Tabela2[[#This Row],[Data]],"mmm")))</f>
        <v/>
      </c>
      <c r="C435" s="1" t="str">
        <f>IF(Tabela2[[#This Row],[Data]]="","",PROPER(TEXT(Tabela2[[#This Row],[Data]],"ddd")))</f>
        <v/>
      </c>
      <c r="D435" s="9"/>
      <c r="E435" s="9"/>
      <c r="F435" s="9"/>
      <c r="G435" s="11"/>
      <c r="H435" s="9"/>
      <c r="I435" s="22"/>
      <c r="J435" s="24"/>
      <c r="K43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35" s="22"/>
    </row>
    <row r="436" spans="1:12" x14ac:dyDescent="0.25">
      <c r="A436" s="13"/>
      <c r="B436" s="7" t="str">
        <f>IF(Tabela2[[#This Row],[Data]]="","",PROPER(TEXT(Tabela2[[#This Row],[Data]],"mmm")))</f>
        <v/>
      </c>
      <c r="C436" s="1" t="str">
        <f>IF(Tabela2[[#This Row],[Data]]="","",PROPER(TEXT(Tabela2[[#This Row],[Data]],"ddd")))</f>
        <v/>
      </c>
      <c r="D436" s="9"/>
      <c r="E436" s="9"/>
      <c r="F436" s="9"/>
      <c r="G436" s="11"/>
      <c r="H436" s="9"/>
      <c r="I436" s="22"/>
      <c r="J436" s="24"/>
      <c r="K43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36" s="22"/>
    </row>
    <row r="437" spans="1:12" x14ac:dyDescent="0.25">
      <c r="A437" s="13"/>
      <c r="B437" s="7" t="str">
        <f>IF(Tabela2[[#This Row],[Data]]="","",PROPER(TEXT(Tabela2[[#This Row],[Data]],"mmm")))</f>
        <v/>
      </c>
      <c r="C437" s="1" t="str">
        <f>IF(Tabela2[[#This Row],[Data]]="","",PROPER(TEXT(Tabela2[[#This Row],[Data]],"ddd")))</f>
        <v/>
      </c>
      <c r="D437" s="9"/>
      <c r="E437" s="9"/>
      <c r="F437" s="9"/>
      <c r="G437" s="11"/>
      <c r="H437" s="9"/>
      <c r="I437" s="22"/>
      <c r="J437" s="24"/>
      <c r="K43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37" s="22"/>
    </row>
    <row r="438" spans="1:12" x14ac:dyDescent="0.25">
      <c r="A438" s="13"/>
      <c r="B438" s="7" t="str">
        <f>IF(Tabela2[[#This Row],[Data]]="","",PROPER(TEXT(Tabela2[[#This Row],[Data]],"mmm")))</f>
        <v/>
      </c>
      <c r="C438" s="1" t="str">
        <f>IF(Tabela2[[#This Row],[Data]]="","",PROPER(TEXT(Tabela2[[#This Row],[Data]],"ddd")))</f>
        <v/>
      </c>
      <c r="D438" s="9"/>
      <c r="E438" s="9"/>
      <c r="F438" s="9"/>
      <c r="G438" s="11"/>
      <c r="H438" s="9"/>
      <c r="I438" s="22"/>
      <c r="J438" s="24"/>
      <c r="K43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38" s="22"/>
    </row>
    <row r="439" spans="1:12" x14ac:dyDescent="0.25">
      <c r="A439" s="13"/>
      <c r="B439" s="7" t="str">
        <f>IF(Tabela2[[#This Row],[Data]]="","",PROPER(TEXT(Tabela2[[#This Row],[Data]],"mmm")))</f>
        <v/>
      </c>
      <c r="C439" s="1" t="str">
        <f>IF(Tabela2[[#This Row],[Data]]="","",PROPER(TEXT(Tabela2[[#This Row],[Data]],"ddd")))</f>
        <v/>
      </c>
      <c r="D439" s="9"/>
      <c r="E439" s="9"/>
      <c r="F439" s="9"/>
      <c r="G439" s="11"/>
      <c r="H439" s="9"/>
      <c r="I439" s="22"/>
      <c r="J439" s="24"/>
      <c r="K43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39" s="22"/>
    </row>
    <row r="440" spans="1:12" x14ac:dyDescent="0.25">
      <c r="A440" s="13"/>
      <c r="B440" s="7" t="str">
        <f>IF(Tabela2[[#This Row],[Data]]="","",PROPER(TEXT(Tabela2[[#This Row],[Data]],"mmm")))</f>
        <v/>
      </c>
      <c r="C440" s="1" t="str">
        <f>IF(Tabela2[[#This Row],[Data]]="","",PROPER(TEXT(Tabela2[[#This Row],[Data]],"ddd")))</f>
        <v/>
      </c>
      <c r="D440" s="9"/>
      <c r="E440" s="9"/>
      <c r="F440" s="9"/>
      <c r="G440" s="11"/>
      <c r="H440" s="9"/>
      <c r="I440" s="22"/>
      <c r="J440" s="24"/>
      <c r="K44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40" s="22"/>
    </row>
    <row r="441" spans="1:12" x14ac:dyDescent="0.25">
      <c r="A441" s="13"/>
      <c r="B441" s="7" t="str">
        <f>IF(Tabela2[[#This Row],[Data]]="","",PROPER(TEXT(Tabela2[[#This Row],[Data]],"mmm")))</f>
        <v/>
      </c>
      <c r="C441" s="1" t="str">
        <f>IF(Tabela2[[#This Row],[Data]]="","",PROPER(TEXT(Tabela2[[#This Row],[Data]],"ddd")))</f>
        <v/>
      </c>
      <c r="D441" s="9"/>
      <c r="E441" s="9"/>
      <c r="F441" s="9"/>
      <c r="G441" s="11"/>
      <c r="H441" s="9"/>
      <c r="I441" s="22"/>
      <c r="J441" s="24"/>
      <c r="K44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41" s="22"/>
    </row>
    <row r="442" spans="1:12" x14ac:dyDescent="0.25">
      <c r="A442" s="13"/>
      <c r="B442" s="7" t="str">
        <f>IF(Tabela2[[#This Row],[Data]]="","",PROPER(TEXT(Tabela2[[#This Row],[Data]],"mmm")))</f>
        <v/>
      </c>
      <c r="C442" s="1" t="str">
        <f>IF(Tabela2[[#This Row],[Data]]="","",PROPER(TEXT(Tabela2[[#This Row],[Data]],"ddd")))</f>
        <v/>
      </c>
      <c r="D442" s="9"/>
      <c r="E442" s="9"/>
      <c r="F442" s="9"/>
      <c r="G442" s="11"/>
      <c r="H442" s="9"/>
      <c r="I442" s="22"/>
      <c r="J442" s="24"/>
      <c r="K44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42" s="22"/>
    </row>
    <row r="443" spans="1:12" x14ac:dyDescent="0.25">
      <c r="A443" s="13"/>
      <c r="B443" s="7" t="str">
        <f>IF(Tabela2[[#This Row],[Data]]="","",PROPER(TEXT(Tabela2[[#This Row],[Data]],"mmm")))</f>
        <v/>
      </c>
      <c r="C443" s="1" t="str">
        <f>IF(Tabela2[[#This Row],[Data]]="","",PROPER(TEXT(Tabela2[[#This Row],[Data]],"ddd")))</f>
        <v/>
      </c>
      <c r="D443" s="9"/>
      <c r="E443" s="9"/>
      <c r="F443" s="9"/>
      <c r="G443" s="11"/>
      <c r="H443" s="9"/>
      <c r="I443" s="22"/>
      <c r="J443" s="24"/>
      <c r="K44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43" s="22"/>
    </row>
    <row r="444" spans="1:12" x14ac:dyDescent="0.25">
      <c r="A444" s="13"/>
      <c r="B444" s="7" t="str">
        <f>IF(Tabela2[[#This Row],[Data]]="","",PROPER(TEXT(Tabela2[[#This Row],[Data]],"mmm")))</f>
        <v/>
      </c>
      <c r="C444" s="1" t="str">
        <f>IF(Tabela2[[#This Row],[Data]]="","",PROPER(TEXT(Tabela2[[#This Row],[Data]],"ddd")))</f>
        <v/>
      </c>
      <c r="D444" s="9"/>
      <c r="E444" s="9"/>
      <c r="F444" s="9"/>
      <c r="G444" s="11"/>
      <c r="H444" s="9"/>
      <c r="I444" s="22"/>
      <c r="J444" s="24"/>
      <c r="K44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44" s="22"/>
    </row>
    <row r="445" spans="1:12" x14ac:dyDescent="0.25">
      <c r="A445" s="13"/>
      <c r="B445" s="7" t="str">
        <f>IF(Tabela2[[#This Row],[Data]]="","",PROPER(TEXT(Tabela2[[#This Row],[Data]],"mmm")))</f>
        <v/>
      </c>
      <c r="C445" s="1" t="str">
        <f>IF(Tabela2[[#This Row],[Data]]="","",PROPER(TEXT(Tabela2[[#This Row],[Data]],"ddd")))</f>
        <v/>
      </c>
      <c r="D445" s="9"/>
      <c r="E445" s="9"/>
      <c r="F445" s="9"/>
      <c r="G445" s="11"/>
      <c r="H445" s="9"/>
      <c r="I445" s="22"/>
      <c r="J445" s="24"/>
      <c r="K44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45" s="22"/>
    </row>
    <row r="446" spans="1:12" x14ac:dyDescent="0.25">
      <c r="A446" s="13"/>
      <c r="B446" s="7" t="str">
        <f>IF(Tabela2[[#This Row],[Data]]="","",PROPER(TEXT(Tabela2[[#This Row],[Data]],"mmm")))</f>
        <v/>
      </c>
      <c r="C446" s="1" t="str">
        <f>IF(Tabela2[[#This Row],[Data]]="","",PROPER(TEXT(Tabela2[[#This Row],[Data]],"ddd")))</f>
        <v/>
      </c>
      <c r="D446" s="9"/>
      <c r="E446" s="9"/>
      <c r="F446" s="9"/>
      <c r="G446" s="11"/>
      <c r="H446" s="9"/>
      <c r="I446" s="22"/>
      <c r="J446" s="24"/>
      <c r="K44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46" s="22"/>
    </row>
    <row r="447" spans="1:12" x14ac:dyDescent="0.25">
      <c r="A447" s="13"/>
      <c r="B447" s="7" t="str">
        <f>IF(Tabela2[[#This Row],[Data]]="","",PROPER(TEXT(Tabela2[[#This Row],[Data]],"mmm")))</f>
        <v/>
      </c>
      <c r="C447" s="1" t="str">
        <f>IF(Tabela2[[#This Row],[Data]]="","",PROPER(TEXT(Tabela2[[#This Row],[Data]],"ddd")))</f>
        <v/>
      </c>
      <c r="D447" s="9"/>
      <c r="E447" s="9"/>
      <c r="F447" s="9"/>
      <c r="G447" s="11"/>
      <c r="H447" s="9"/>
      <c r="I447" s="22"/>
      <c r="J447" s="24"/>
      <c r="K44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47" s="22"/>
    </row>
    <row r="448" spans="1:12" x14ac:dyDescent="0.25">
      <c r="A448" s="13"/>
      <c r="B448" s="7" t="str">
        <f>IF(Tabela2[[#This Row],[Data]]="","",PROPER(TEXT(Tabela2[[#This Row],[Data]],"mmm")))</f>
        <v/>
      </c>
      <c r="C448" s="1" t="str">
        <f>IF(Tabela2[[#This Row],[Data]]="","",PROPER(TEXT(Tabela2[[#This Row],[Data]],"ddd")))</f>
        <v/>
      </c>
      <c r="D448" s="9"/>
      <c r="E448" s="9"/>
      <c r="F448" s="9"/>
      <c r="G448" s="11"/>
      <c r="H448" s="9"/>
      <c r="I448" s="22"/>
      <c r="J448" s="24"/>
      <c r="K44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48" s="22"/>
    </row>
    <row r="449" spans="1:12" x14ac:dyDescent="0.25">
      <c r="A449" s="13"/>
      <c r="B449" s="7" t="str">
        <f>IF(Tabela2[[#This Row],[Data]]="","",PROPER(TEXT(Tabela2[[#This Row],[Data]],"mmm")))</f>
        <v/>
      </c>
      <c r="C449" s="1" t="str">
        <f>IF(Tabela2[[#This Row],[Data]]="","",PROPER(TEXT(Tabela2[[#This Row],[Data]],"ddd")))</f>
        <v/>
      </c>
      <c r="D449" s="9"/>
      <c r="E449" s="9"/>
      <c r="F449" s="9"/>
      <c r="G449" s="11"/>
      <c r="H449" s="9"/>
      <c r="I449" s="22"/>
      <c r="J449" s="24"/>
      <c r="K44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49" s="22"/>
    </row>
    <row r="450" spans="1:12" x14ac:dyDescent="0.25">
      <c r="A450" s="13"/>
      <c r="B450" s="7" t="str">
        <f>IF(Tabela2[[#This Row],[Data]]="","",PROPER(TEXT(Tabela2[[#This Row],[Data]],"mmm")))</f>
        <v/>
      </c>
      <c r="C450" s="1" t="str">
        <f>IF(Tabela2[[#This Row],[Data]]="","",PROPER(TEXT(Tabela2[[#This Row],[Data]],"ddd")))</f>
        <v/>
      </c>
      <c r="D450" s="9"/>
      <c r="E450" s="9"/>
      <c r="F450" s="9"/>
      <c r="G450" s="11"/>
      <c r="H450" s="9"/>
      <c r="I450" s="22"/>
      <c r="J450" s="24"/>
      <c r="K45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50" s="22"/>
    </row>
    <row r="451" spans="1:12" x14ac:dyDescent="0.25">
      <c r="A451" s="13"/>
      <c r="B451" s="7" t="str">
        <f>IF(Tabela2[[#This Row],[Data]]="","",PROPER(TEXT(Tabela2[[#This Row],[Data]],"mmm")))</f>
        <v/>
      </c>
      <c r="C451" s="1" t="str">
        <f>IF(Tabela2[[#This Row],[Data]]="","",PROPER(TEXT(Tabela2[[#This Row],[Data]],"ddd")))</f>
        <v/>
      </c>
      <c r="D451" s="9"/>
      <c r="E451" s="9"/>
      <c r="F451" s="9"/>
      <c r="G451" s="11"/>
      <c r="H451" s="9"/>
      <c r="I451" s="22"/>
      <c r="J451" s="24"/>
      <c r="K45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51" s="22"/>
    </row>
    <row r="452" spans="1:12" x14ac:dyDescent="0.25">
      <c r="A452" s="13"/>
      <c r="B452" s="7" t="str">
        <f>IF(Tabela2[[#This Row],[Data]]="","",PROPER(TEXT(Tabela2[[#This Row],[Data]],"mmm")))</f>
        <v/>
      </c>
      <c r="C452" s="1" t="str">
        <f>IF(Tabela2[[#This Row],[Data]]="","",PROPER(TEXT(Tabela2[[#This Row],[Data]],"ddd")))</f>
        <v/>
      </c>
      <c r="D452" s="9"/>
      <c r="E452" s="9"/>
      <c r="F452" s="9"/>
      <c r="G452" s="11"/>
      <c r="H452" s="9"/>
      <c r="I452" s="22"/>
      <c r="J452" s="24"/>
      <c r="K45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52" s="22"/>
    </row>
    <row r="453" spans="1:12" x14ac:dyDescent="0.25">
      <c r="A453" s="13"/>
      <c r="B453" s="7" t="str">
        <f>IF(Tabela2[[#This Row],[Data]]="","",PROPER(TEXT(Tabela2[[#This Row],[Data]],"mmm")))</f>
        <v/>
      </c>
      <c r="C453" s="1" t="str">
        <f>IF(Tabela2[[#This Row],[Data]]="","",PROPER(TEXT(Tabela2[[#This Row],[Data]],"ddd")))</f>
        <v/>
      </c>
      <c r="D453" s="9"/>
      <c r="E453" s="9"/>
      <c r="F453" s="9"/>
      <c r="G453" s="11"/>
      <c r="H453" s="9"/>
      <c r="I453" s="22"/>
      <c r="J453" s="24"/>
      <c r="K45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53" s="22"/>
    </row>
    <row r="454" spans="1:12" x14ac:dyDescent="0.25">
      <c r="A454" s="13"/>
      <c r="B454" s="7" t="str">
        <f>IF(Tabela2[[#This Row],[Data]]="","",PROPER(TEXT(Tabela2[[#This Row],[Data]],"mmm")))</f>
        <v/>
      </c>
      <c r="C454" s="1" t="str">
        <f>IF(Tabela2[[#This Row],[Data]]="","",PROPER(TEXT(Tabela2[[#This Row],[Data]],"ddd")))</f>
        <v/>
      </c>
      <c r="D454" s="9"/>
      <c r="E454" s="9"/>
      <c r="F454" s="9"/>
      <c r="G454" s="11"/>
      <c r="H454" s="9"/>
      <c r="I454" s="22"/>
      <c r="J454" s="24"/>
      <c r="K45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54" s="22"/>
    </row>
    <row r="455" spans="1:12" x14ac:dyDescent="0.25">
      <c r="A455" s="13"/>
      <c r="B455" s="7" t="str">
        <f>IF(Tabela2[[#This Row],[Data]]="","",PROPER(TEXT(Tabela2[[#This Row],[Data]],"mmm")))</f>
        <v/>
      </c>
      <c r="C455" s="1" t="str">
        <f>IF(Tabela2[[#This Row],[Data]]="","",PROPER(TEXT(Tabela2[[#This Row],[Data]],"ddd")))</f>
        <v/>
      </c>
      <c r="D455" s="9"/>
      <c r="E455" s="9"/>
      <c r="F455" s="9"/>
      <c r="G455" s="11"/>
      <c r="H455" s="9"/>
      <c r="I455" s="22"/>
      <c r="J455" s="24"/>
      <c r="K45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55" s="22"/>
    </row>
    <row r="456" spans="1:12" x14ac:dyDescent="0.25">
      <c r="A456" s="13"/>
      <c r="B456" s="7" t="str">
        <f>IF(Tabela2[[#This Row],[Data]]="","",PROPER(TEXT(Tabela2[[#This Row],[Data]],"mmm")))</f>
        <v/>
      </c>
      <c r="C456" s="1" t="str">
        <f>IF(Tabela2[[#This Row],[Data]]="","",PROPER(TEXT(Tabela2[[#This Row],[Data]],"ddd")))</f>
        <v/>
      </c>
      <c r="D456" s="9"/>
      <c r="E456" s="9"/>
      <c r="F456" s="9"/>
      <c r="G456" s="11"/>
      <c r="H456" s="9"/>
      <c r="I456" s="22"/>
      <c r="J456" s="24"/>
      <c r="K45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56" s="22"/>
    </row>
    <row r="457" spans="1:12" x14ac:dyDescent="0.25">
      <c r="A457" s="13"/>
      <c r="B457" s="7" t="str">
        <f>IF(Tabela2[[#This Row],[Data]]="","",PROPER(TEXT(Tabela2[[#This Row],[Data]],"mmm")))</f>
        <v/>
      </c>
      <c r="C457" s="1" t="str">
        <f>IF(Tabela2[[#This Row],[Data]]="","",PROPER(TEXT(Tabela2[[#This Row],[Data]],"ddd")))</f>
        <v/>
      </c>
      <c r="D457" s="9"/>
      <c r="E457" s="9"/>
      <c r="F457" s="9"/>
      <c r="G457" s="11"/>
      <c r="H457" s="9"/>
      <c r="I457" s="22"/>
      <c r="J457" s="24"/>
      <c r="K45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57" s="22"/>
    </row>
    <row r="458" spans="1:12" x14ac:dyDescent="0.25">
      <c r="A458" s="13"/>
      <c r="B458" s="7" t="str">
        <f>IF(Tabela2[[#This Row],[Data]]="","",PROPER(TEXT(Tabela2[[#This Row],[Data]],"mmm")))</f>
        <v/>
      </c>
      <c r="C458" s="1" t="str">
        <f>IF(Tabela2[[#This Row],[Data]]="","",PROPER(TEXT(Tabela2[[#This Row],[Data]],"ddd")))</f>
        <v/>
      </c>
      <c r="D458" s="9"/>
      <c r="E458" s="9"/>
      <c r="F458" s="9"/>
      <c r="G458" s="11"/>
      <c r="H458" s="9"/>
      <c r="I458" s="22"/>
      <c r="J458" s="24"/>
      <c r="K45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58" s="22"/>
    </row>
    <row r="459" spans="1:12" x14ac:dyDescent="0.25">
      <c r="A459" s="13"/>
      <c r="B459" s="7" t="str">
        <f>IF(Tabela2[[#This Row],[Data]]="","",PROPER(TEXT(Tabela2[[#This Row],[Data]],"mmm")))</f>
        <v/>
      </c>
      <c r="C459" s="1" t="str">
        <f>IF(Tabela2[[#This Row],[Data]]="","",PROPER(TEXT(Tabela2[[#This Row],[Data]],"ddd")))</f>
        <v/>
      </c>
      <c r="D459" s="9"/>
      <c r="E459" s="9"/>
      <c r="F459" s="9"/>
      <c r="G459" s="11"/>
      <c r="H459" s="9"/>
      <c r="I459" s="22"/>
      <c r="J459" s="24"/>
      <c r="K45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59" s="22"/>
    </row>
    <row r="460" spans="1:12" x14ac:dyDescent="0.25">
      <c r="A460" s="13"/>
      <c r="B460" s="7" t="str">
        <f>IF(Tabela2[[#This Row],[Data]]="","",PROPER(TEXT(Tabela2[[#This Row],[Data]],"mmm")))</f>
        <v/>
      </c>
      <c r="C460" s="1" t="str">
        <f>IF(Tabela2[[#This Row],[Data]]="","",PROPER(TEXT(Tabela2[[#This Row],[Data]],"ddd")))</f>
        <v/>
      </c>
      <c r="D460" s="9"/>
      <c r="E460" s="9"/>
      <c r="F460" s="9"/>
      <c r="G460" s="11"/>
      <c r="H460" s="9"/>
      <c r="I460" s="22"/>
      <c r="J460" s="24"/>
      <c r="K46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60" s="22"/>
    </row>
    <row r="461" spans="1:12" x14ac:dyDescent="0.25">
      <c r="A461" s="13"/>
      <c r="B461" s="7" t="str">
        <f>IF(Tabela2[[#This Row],[Data]]="","",PROPER(TEXT(Tabela2[[#This Row],[Data]],"mmm")))</f>
        <v/>
      </c>
      <c r="C461" s="1" t="str">
        <f>IF(Tabela2[[#This Row],[Data]]="","",PROPER(TEXT(Tabela2[[#This Row],[Data]],"ddd")))</f>
        <v/>
      </c>
      <c r="D461" s="9"/>
      <c r="E461" s="9"/>
      <c r="F461" s="9"/>
      <c r="G461" s="11"/>
      <c r="H461" s="9"/>
      <c r="I461" s="22"/>
      <c r="J461" s="24"/>
      <c r="K46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61" s="22"/>
    </row>
    <row r="462" spans="1:12" x14ac:dyDescent="0.25">
      <c r="A462" s="13"/>
      <c r="B462" s="7" t="str">
        <f>IF(Tabela2[[#This Row],[Data]]="","",PROPER(TEXT(Tabela2[[#This Row],[Data]],"mmm")))</f>
        <v/>
      </c>
      <c r="C462" s="1" t="str">
        <f>IF(Tabela2[[#This Row],[Data]]="","",PROPER(TEXT(Tabela2[[#This Row],[Data]],"ddd")))</f>
        <v/>
      </c>
      <c r="D462" s="9"/>
      <c r="E462" s="9"/>
      <c r="F462" s="9"/>
      <c r="G462" s="11"/>
      <c r="H462" s="9"/>
      <c r="I462" s="22"/>
      <c r="J462" s="24"/>
      <c r="K46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62" s="22"/>
    </row>
    <row r="463" spans="1:12" x14ac:dyDescent="0.25">
      <c r="A463" s="13"/>
      <c r="B463" s="7" t="str">
        <f>IF(Tabela2[[#This Row],[Data]]="","",PROPER(TEXT(Tabela2[[#This Row],[Data]],"mmm")))</f>
        <v/>
      </c>
      <c r="C463" s="1" t="str">
        <f>IF(Tabela2[[#This Row],[Data]]="","",PROPER(TEXT(Tabela2[[#This Row],[Data]],"ddd")))</f>
        <v/>
      </c>
      <c r="D463" s="9"/>
      <c r="E463" s="9"/>
      <c r="F463" s="9"/>
      <c r="G463" s="11"/>
      <c r="H463" s="9"/>
      <c r="I463" s="22"/>
      <c r="J463" s="24"/>
      <c r="K46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63" s="22"/>
    </row>
    <row r="464" spans="1:12" x14ac:dyDescent="0.25">
      <c r="A464" s="13"/>
      <c r="B464" s="7" t="str">
        <f>IF(Tabela2[[#This Row],[Data]]="","",PROPER(TEXT(Tabela2[[#This Row],[Data]],"mmm")))</f>
        <v/>
      </c>
      <c r="C464" s="1" t="str">
        <f>IF(Tabela2[[#This Row],[Data]]="","",PROPER(TEXT(Tabela2[[#This Row],[Data]],"ddd")))</f>
        <v/>
      </c>
      <c r="D464" s="9"/>
      <c r="E464" s="9"/>
      <c r="F464" s="9"/>
      <c r="G464" s="11"/>
      <c r="H464" s="9"/>
      <c r="I464" s="22"/>
      <c r="J464" s="24"/>
      <c r="K46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64" s="22"/>
    </row>
    <row r="465" spans="1:12" x14ac:dyDescent="0.25">
      <c r="A465" s="13"/>
      <c r="B465" s="7" t="str">
        <f>IF(Tabela2[[#This Row],[Data]]="","",PROPER(TEXT(Tabela2[[#This Row],[Data]],"mmm")))</f>
        <v/>
      </c>
      <c r="C465" s="1" t="str">
        <f>IF(Tabela2[[#This Row],[Data]]="","",PROPER(TEXT(Tabela2[[#This Row],[Data]],"ddd")))</f>
        <v/>
      </c>
      <c r="D465" s="9"/>
      <c r="E465" s="9"/>
      <c r="F465" s="9"/>
      <c r="G465" s="11"/>
      <c r="H465" s="9"/>
      <c r="I465" s="22"/>
      <c r="J465" s="24"/>
      <c r="K46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65" s="22"/>
    </row>
    <row r="466" spans="1:12" x14ac:dyDescent="0.25">
      <c r="A466" s="13"/>
      <c r="B466" s="7" t="str">
        <f>IF(Tabela2[[#This Row],[Data]]="","",PROPER(TEXT(Tabela2[[#This Row],[Data]],"mmm")))</f>
        <v/>
      </c>
      <c r="C466" s="1" t="str">
        <f>IF(Tabela2[[#This Row],[Data]]="","",PROPER(TEXT(Tabela2[[#This Row],[Data]],"ddd")))</f>
        <v/>
      </c>
      <c r="D466" s="9"/>
      <c r="E466" s="9"/>
      <c r="F466" s="9"/>
      <c r="G466" s="11"/>
      <c r="H466" s="9"/>
      <c r="I466" s="22"/>
      <c r="J466" s="24"/>
      <c r="K46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66" s="22"/>
    </row>
    <row r="467" spans="1:12" x14ac:dyDescent="0.25">
      <c r="A467" s="13"/>
      <c r="B467" s="7" t="str">
        <f>IF(Tabela2[[#This Row],[Data]]="","",PROPER(TEXT(Tabela2[[#This Row],[Data]],"mmm")))</f>
        <v/>
      </c>
      <c r="C467" s="1" t="str">
        <f>IF(Tabela2[[#This Row],[Data]]="","",PROPER(TEXT(Tabela2[[#This Row],[Data]],"ddd")))</f>
        <v/>
      </c>
      <c r="D467" s="9"/>
      <c r="E467" s="9"/>
      <c r="F467" s="9"/>
      <c r="G467" s="11"/>
      <c r="H467" s="9"/>
      <c r="I467" s="22"/>
      <c r="J467" s="24"/>
      <c r="K46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67" s="22"/>
    </row>
    <row r="468" spans="1:12" x14ac:dyDescent="0.25">
      <c r="A468" s="13"/>
      <c r="B468" s="7" t="str">
        <f>IF(Tabela2[[#This Row],[Data]]="","",PROPER(TEXT(Tabela2[[#This Row],[Data]],"mmm")))</f>
        <v/>
      </c>
      <c r="C468" s="1" t="str">
        <f>IF(Tabela2[[#This Row],[Data]]="","",PROPER(TEXT(Tabela2[[#This Row],[Data]],"ddd")))</f>
        <v/>
      </c>
      <c r="D468" s="9"/>
      <c r="E468" s="9"/>
      <c r="F468" s="9"/>
      <c r="G468" s="11"/>
      <c r="H468" s="9"/>
      <c r="I468" s="22"/>
      <c r="J468" s="24"/>
      <c r="K46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68" s="22"/>
    </row>
    <row r="469" spans="1:12" x14ac:dyDescent="0.25">
      <c r="A469" s="13"/>
      <c r="B469" s="7" t="str">
        <f>IF(Tabela2[[#This Row],[Data]]="","",PROPER(TEXT(Tabela2[[#This Row],[Data]],"mmm")))</f>
        <v/>
      </c>
      <c r="C469" s="1" t="str">
        <f>IF(Tabela2[[#This Row],[Data]]="","",PROPER(TEXT(Tabela2[[#This Row],[Data]],"ddd")))</f>
        <v/>
      </c>
      <c r="D469" s="9"/>
      <c r="E469" s="9"/>
      <c r="F469" s="9"/>
      <c r="G469" s="11"/>
      <c r="H469" s="9"/>
      <c r="I469" s="22"/>
      <c r="J469" s="24"/>
      <c r="K46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69" s="22"/>
    </row>
    <row r="470" spans="1:12" x14ac:dyDescent="0.25">
      <c r="A470" s="13"/>
      <c r="B470" s="7" t="str">
        <f>IF(Tabela2[[#This Row],[Data]]="","",PROPER(TEXT(Tabela2[[#This Row],[Data]],"mmm")))</f>
        <v/>
      </c>
      <c r="C470" s="1" t="str">
        <f>IF(Tabela2[[#This Row],[Data]]="","",PROPER(TEXT(Tabela2[[#This Row],[Data]],"ddd")))</f>
        <v/>
      </c>
      <c r="D470" s="9"/>
      <c r="E470" s="9"/>
      <c r="F470" s="9"/>
      <c r="G470" s="11"/>
      <c r="H470" s="9"/>
      <c r="I470" s="22"/>
      <c r="J470" s="24"/>
      <c r="K47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70" s="22"/>
    </row>
    <row r="471" spans="1:12" x14ac:dyDescent="0.25">
      <c r="A471" s="13"/>
      <c r="B471" s="7" t="str">
        <f>IF(Tabela2[[#This Row],[Data]]="","",PROPER(TEXT(Tabela2[[#This Row],[Data]],"mmm")))</f>
        <v/>
      </c>
      <c r="C471" s="1" t="str">
        <f>IF(Tabela2[[#This Row],[Data]]="","",PROPER(TEXT(Tabela2[[#This Row],[Data]],"ddd")))</f>
        <v/>
      </c>
      <c r="D471" s="9"/>
      <c r="E471" s="9"/>
      <c r="F471" s="9"/>
      <c r="G471" s="11"/>
      <c r="H471" s="9"/>
      <c r="I471" s="22"/>
      <c r="J471" s="24"/>
      <c r="K47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71" s="22"/>
    </row>
    <row r="472" spans="1:12" x14ac:dyDescent="0.25">
      <c r="A472" s="13"/>
      <c r="B472" s="7" t="str">
        <f>IF(Tabela2[[#This Row],[Data]]="","",PROPER(TEXT(Tabela2[[#This Row],[Data]],"mmm")))</f>
        <v/>
      </c>
      <c r="C472" s="1" t="str">
        <f>IF(Tabela2[[#This Row],[Data]]="","",PROPER(TEXT(Tabela2[[#This Row],[Data]],"ddd")))</f>
        <v/>
      </c>
      <c r="D472" s="9"/>
      <c r="E472" s="9"/>
      <c r="F472" s="9"/>
      <c r="G472" s="11"/>
      <c r="H472" s="9"/>
      <c r="I472" s="22"/>
      <c r="J472" s="24"/>
      <c r="K47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72" s="22"/>
    </row>
    <row r="473" spans="1:12" x14ac:dyDescent="0.25">
      <c r="A473" s="13"/>
      <c r="B473" s="7" t="str">
        <f>IF(Tabela2[[#This Row],[Data]]="","",PROPER(TEXT(Tabela2[[#This Row],[Data]],"mmm")))</f>
        <v/>
      </c>
      <c r="C473" s="1" t="str">
        <f>IF(Tabela2[[#This Row],[Data]]="","",PROPER(TEXT(Tabela2[[#This Row],[Data]],"ddd")))</f>
        <v/>
      </c>
      <c r="D473" s="9"/>
      <c r="E473" s="9"/>
      <c r="F473" s="9"/>
      <c r="G473" s="11"/>
      <c r="H473" s="9"/>
      <c r="I473" s="22"/>
      <c r="J473" s="24"/>
      <c r="K47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73" s="22"/>
    </row>
    <row r="474" spans="1:12" x14ac:dyDescent="0.25">
      <c r="A474" s="13"/>
      <c r="B474" s="7" t="str">
        <f>IF(Tabela2[[#This Row],[Data]]="","",PROPER(TEXT(Tabela2[[#This Row],[Data]],"mmm")))</f>
        <v/>
      </c>
      <c r="C474" s="1" t="str">
        <f>IF(Tabela2[[#This Row],[Data]]="","",PROPER(TEXT(Tabela2[[#This Row],[Data]],"ddd")))</f>
        <v/>
      </c>
      <c r="D474" s="9"/>
      <c r="E474" s="9"/>
      <c r="F474" s="9"/>
      <c r="G474" s="11"/>
      <c r="H474" s="9"/>
      <c r="I474" s="22"/>
      <c r="J474" s="24"/>
      <c r="K47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74" s="22"/>
    </row>
    <row r="475" spans="1:12" x14ac:dyDescent="0.25">
      <c r="A475" s="13"/>
      <c r="B475" s="7" t="str">
        <f>IF(Tabela2[[#This Row],[Data]]="","",PROPER(TEXT(Tabela2[[#This Row],[Data]],"mmm")))</f>
        <v/>
      </c>
      <c r="C475" s="1" t="str">
        <f>IF(Tabela2[[#This Row],[Data]]="","",PROPER(TEXT(Tabela2[[#This Row],[Data]],"ddd")))</f>
        <v/>
      </c>
      <c r="D475" s="9"/>
      <c r="E475" s="9"/>
      <c r="F475" s="9"/>
      <c r="G475" s="11"/>
      <c r="H475" s="9"/>
      <c r="I475" s="22"/>
      <c r="J475" s="24"/>
      <c r="K47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75" s="22"/>
    </row>
    <row r="476" spans="1:12" x14ac:dyDescent="0.25">
      <c r="A476" s="13"/>
      <c r="B476" s="7" t="str">
        <f>IF(Tabela2[[#This Row],[Data]]="","",PROPER(TEXT(Tabela2[[#This Row],[Data]],"mmm")))</f>
        <v/>
      </c>
      <c r="C476" s="1" t="str">
        <f>IF(Tabela2[[#This Row],[Data]]="","",PROPER(TEXT(Tabela2[[#This Row],[Data]],"ddd")))</f>
        <v/>
      </c>
      <c r="D476" s="9"/>
      <c r="E476" s="9"/>
      <c r="F476" s="9"/>
      <c r="G476" s="11"/>
      <c r="H476" s="9"/>
      <c r="I476" s="22"/>
      <c r="J476" s="24"/>
      <c r="K47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76" s="22"/>
    </row>
    <row r="477" spans="1:12" x14ac:dyDescent="0.25">
      <c r="A477" s="13"/>
      <c r="B477" s="7" t="str">
        <f>IF(Tabela2[[#This Row],[Data]]="","",PROPER(TEXT(Tabela2[[#This Row],[Data]],"mmm")))</f>
        <v/>
      </c>
      <c r="C477" s="1" t="str">
        <f>IF(Tabela2[[#This Row],[Data]]="","",PROPER(TEXT(Tabela2[[#This Row],[Data]],"ddd")))</f>
        <v/>
      </c>
      <c r="D477" s="9"/>
      <c r="E477" s="9"/>
      <c r="F477" s="9"/>
      <c r="G477" s="11"/>
      <c r="H477" s="9"/>
      <c r="I477" s="22"/>
      <c r="J477" s="24"/>
      <c r="K47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77" s="22"/>
    </row>
    <row r="478" spans="1:12" x14ac:dyDescent="0.25">
      <c r="A478" s="13"/>
      <c r="B478" s="7" t="str">
        <f>IF(Tabela2[[#This Row],[Data]]="","",PROPER(TEXT(Tabela2[[#This Row],[Data]],"mmm")))</f>
        <v/>
      </c>
      <c r="C478" s="1" t="str">
        <f>IF(Tabela2[[#This Row],[Data]]="","",PROPER(TEXT(Tabela2[[#This Row],[Data]],"ddd")))</f>
        <v/>
      </c>
      <c r="D478" s="9"/>
      <c r="E478" s="9"/>
      <c r="F478" s="9"/>
      <c r="G478" s="11"/>
      <c r="H478" s="9"/>
      <c r="I478" s="22"/>
      <c r="J478" s="24"/>
      <c r="K47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78" s="22"/>
    </row>
    <row r="479" spans="1:12" x14ac:dyDescent="0.25">
      <c r="A479" s="13"/>
      <c r="B479" s="7" t="str">
        <f>IF(Tabela2[[#This Row],[Data]]="","",PROPER(TEXT(Tabela2[[#This Row],[Data]],"mmm")))</f>
        <v/>
      </c>
      <c r="C479" s="1" t="str">
        <f>IF(Tabela2[[#This Row],[Data]]="","",PROPER(TEXT(Tabela2[[#This Row],[Data]],"ddd")))</f>
        <v/>
      </c>
      <c r="D479" s="9"/>
      <c r="E479" s="9"/>
      <c r="F479" s="9"/>
      <c r="G479" s="11"/>
      <c r="H479" s="9"/>
      <c r="I479" s="22"/>
      <c r="J479" s="24"/>
      <c r="K47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79" s="22"/>
    </row>
    <row r="480" spans="1:12" x14ac:dyDescent="0.25">
      <c r="A480" s="13"/>
      <c r="B480" s="7" t="str">
        <f>IF(Tabela2[[#This Row],[Data]]="","",PROPER(TEXT(Tabela2[[#This Row],[Data]],"mmm")))</f>
        <v/>
      </c>
      <c r="C480" s="1" t="str">
        <f>IF(Tabela2[[#This Row],[Data]]="","",PROPER(TEXT(Tabela2[[#This Row],[Data]],"ddd")))</f>
        <v/>
      </c>
      <c r="D480" s="9"/>
      <c r="E480" s="9"/>
      <c r="F480" s="9"/>
      <c r="G480" s="11"/>
      <c r="H480" s="9"/>
      <c r="I480" s="22"/>
      <c r="J480" s="24"/>
      <c r="K48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80" s="22"/>
    </row>
    <row r="481" spans="1:12" x14ac:dyDescent="0.25">
      <c r="A481" s="13"/>
      <c r="B481" s="7" t="str">
        <f>IF(Tabela2[[#This Row],[Data]]="","",PROPER(TEXT(Tabela2[[#This Row],[Data]],"mmm")))</f>
        <v/>
      </c>
      <c r="C481" s="1" t="str">
        <f>IF(Tabela2[[#This Row],[Data]]="","",PROPER(TEXT(Tabela2[[#This Row],[Data]],"ddd")))</f>
        <v/>
      </c>
      <c r="D481" s="9"/>
      <c r="E481" s="9"/>
      <c r="F481" s="9"/>
      <c r="G481" s="11"/>
      <c r="H481" s="9"/>
      <c r="I481" s="22"/>
      <c r="J481" s="24"/>
      <c r="K48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81" s="22"/>
    </row>
    <row r="482" spans="1:12" x14ac:dyDescent="0.25">
      <c r="A482" s="13"/>
      <c r="B482" s="7" t="str">
        <f>IF(Tabela2[[#This Row],[Data]]="","",PROPER(TEXT(Tabela2[[#This Row],[Data]],"mmm")))</f>
        <v/>
      </c>
      <c r="C482" s="1" t="str">
        <f>IF(Tabela2[[#This Row],[Data]]="","",PROPER(TEXT(Tabela2[[#This Row],[Data]],"ddd")))</f>
        <v/>
      </c>
      <c r="D482" s="9"/>
      <c r="E482" s="9"/>
      <c r="F482" s="9"/>
      <c r="G482" s="11"/>
      <c r="H482" s="9"/>
      <c r="I482" s="22"/>
      <c r="J482" s="24"/>
      <c r="K48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82" s="22"/>
    </row>
    <row r="483" spans="1:12" x14ac:dyDescent="0.25">
      <c r="A483" s="13"/>
      <c r="B483" s="7" t="str">
        <f>IF(Tabela2[[#This Row],[Data]]="","",PROPER(TEXT(Tabela2[[#This Row],[Data]],"mmm")))</f>
        <v/>
      </c>
      <c r="C483" s="1" t="str">
        <f>IF(Tabela2[[#This Row],[Data]]="","",PROPER(TEXT(Tabela2[[#This Row],[Data]],"ddd")))</f>
        <v/>
      </c>
      <c r="D483" s="9"/>
      <c r="E483" s="9"/>
      <c r="F483" s="9"/>
      <c r="G483" s="11"/>
      <c r="H483" s="9"/>
      <c r="I483" s="22"/>
      <c r="J483" s="24"/>
      <c r="K48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83" s="22"/>
    </row>
    <row r="484" spans="1:12" x14ac:dyDescent="0.25">
      <c r="A484" s="13"/>
      <c r="B484" s="7" t="str">
        <f>IF(Tabela2[[#This Row],[Data]]="","",PROPER(TEXT(Tabela2[[#This Row],[Data]],"mmm")))</f>
        <v/>
      </c>
      <c r="C484" s="1" t="str">
        <f>IF(Tabela2[[#This Row],[Data]]="","",PROPER(TEXT(Tabela2[[#This Row],[Data]],"ddd")))</f>
        <v/>
      </c>
      <c r="D484" s="9"/>
      <c r="E484" s="9"/>
      <c r="F484" s="9"/>
      <c r="G484" s="11"/>
      <c r="H484" s="9"/>
      <c r="I484" s="22"/>
      <c r="J484" s="24"/>
      <c r="K48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84" s="22"/>
    </row>
    <row r="485" spans="1:12" x14ac:dyDescent="0.25">
      <c r="A485" s="13"/>
      <c r="B485" s="7" t="str">
        <f>IF(Tabela2[[#This Row],[Data]]="","",PROPER(TEXT(Tabela2[[#This Row],[Data]],"mmm")))</f>
        <v/>
      </c>
      <c r="C485" s="1" t="str">
        <f>IF(Tabela2[[#This Row],[Data]]="","",PROPER(TEXT(Tabela2[[#This Row],[Data]],"ddd")))</f>
        <v/>
      </c>
      <c r="D485" s="9"/>
      <c r="E485" s="9"/>
      <c r="F485" s="9"/>
      <c r="G485" s="11"/>
      <c r="H485" s="9"/>
      <c r="I485" s="22"/>
      <c r="J485" s="24"/>
      <c r="K48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85" s="22"/>
    </row>
    <row r="486" spans="1:12" x14ac:dyDescent="0.25">
      <c r="A486" s="13"/>
      <c r="B486" s="7" t="str">
        <f>IF(Tabela2[[#This Row],[Data]]="","",PROPER(TEXT(Tabela2[[#This Row],[Data]],"mmm")))</f>
        <v/>
      </c>
      <c r="C486" s="1" t="str">
        <f>IF(Tabela2[[#This Row],[Data]]="","",PROPER(TEXT(Tabela2[[#This Row],[Data]],"ddd")))</f>
        <v/>
      </c>
      <c r="D486" s="9"/>
      <c r="E486" s="9"/>
      <c r="F486" s="9"/>
      <c r="G486" s="11"/>
      <c r="H486" s="9"/>
      <c r="I486" s="22"/>
      <c r="J486" s="24"/>
      <c r="K48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86" s="22"/>
    </row>
    <row r="487" spans="1:12" x14ac:dyDescent="0.25">
      <c r="A487" s="13"/>
      <c r="B487" s="7" t="str">
        <f>IF(Tabela2[[#This Row],[Data]]="","",PROPER(TEXT(Tabela2[[#This Row],[Data]],"mmm")))</f>
        <v/>
      </c>
      <c r="C487" s="1" t="str">
        <f>IF(Tabela2[[#This Row],[Data]]="","",PROPER(TEXT(Tabela2[[#This Row],[Data]],"ddd")))</f>
        <v/>
      </c>
      <c r="D487" s="9"/>
      <c r="E487" s="9"/>
      <c r="F487" s="9"/>
      <c r="G487" s="11"/>
      <c r="H487" s="9"/>
      <c r="I487" s="22"/>
      <c r="J487" s="24"/>
      <c r="K48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87" s="22"/>
    </row>
    <row r="488" spans="1:12" x14ac:dyDescent="0.25">
      <c r="A488" s="13"/>
      <c r="B488" s="7" t="str">
        <f>IF(Tabela2[[#This Row],[Data]]="","",PROPER(TEXT(Tabela2[[#This Row],[Data]],"mmm")))</f>
        <v/>
      </c>
      <c r="C488" s="1" t="str">
        <f>IF(Tabela2[[#This Row],[Data]]="","",PROPER(TEXT(Tabela2[[#This Row],[Data]],"ddd")))</f>
        <v/>
      </c>
      <c r="D488" s="9"/>
      <c r="E488" s="9"/>
      <c r="F488" s="9"/>
      <c r="G488" s="11"/>
      <c r="H488" s="9"/>
      <c r="I488" s="22"/>
      <c r="J488" s="24"/>
      <c r="K48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88" s="22"/>
    </row>
    <row r="489" spans="1:12" x14ac:dyDescent="0.25">
      <c r="A489" s="13"/>
      <c r="B489" s="7" t="str">
        <f>IF(Tabela2[[#This Row],[Data]]="","",PROPER(TEXT(Tabela2[[#This Row],[Data]],"mmm")))</f>
        <v/>
      </c>
      <c r="C489" s="1" t="str">
        <f>IF(Tabela2[[#This Row],[Data]]="","",PROPER(TEXT(Tabela2[[#This Row],[Data]],"ddd")))</f>
        <v/>
      </c>
      <c r="D489" s="9"/>
      <c r="E489" s="9"/>
      <c r="F489" s="9"/>
      <c r="G489" s="11"/>
      <c r="H489" s="9"/>
      <c r="I489" s="22"/>
      <c r="J489" s="24"/>
      <c r="K48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89" s="22"/>
    </row>
    <row r="490" spans="1:12" x14ac:dyDescent="0.25">
      <c r="A490" s="13"/>
      <c r="B490" s="7" t="str">
        <f>IF(Tabela2[[#This Row],[Data]]="","",PROPER(TEXT(Tabela2[[#This Row],[Data]],"mmm")))</f>
        <v/>
      </c>
      <c r="C490" s="1" t="str">
        <f>IF(Tabela2[[#This Row],[Data]]="","",PROPER(TEXT(Tabela2[[#This Row],[Data]],"ddd")))</f>
        <v/>
      </c>
      <c r="D490" s="9"/>
      <c r="E490" s="9"/>
      <c r="F490" s="9"/>
      <c r="G490" s="11"/>
      <c r="H490" s="9"/>
      <c r="I490" s="22"/>
      <c r="J490" s="24"/>
      <c r="K49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90" s="22"/>
    </row>
    <row r="491" spans="1:12" x14ac:dyDescent="0.25">
      <c r="A491" s="13"/>
      <c r="B491" s="7" t="str">
        <f>IF(Tabela2[[#This Row],[Data]]="","",PROPER(TEXT(Tabela2[[#This Row],[Data]],"mmm")))</f>
        <v/>
      </c>
      <c r="C491" s="1" t="str">
        <f>IF(Tabela2[[#This Row],[Data]]="","",PROPER(TEXT(Tabela2[[#This Row],[Data]],"ddd")))</f>
        <v/>
      </c>
      <c r="D491" s="9"/>
      <c r="E491" s="9"/>
      <c r="F491" s="9"/>
      <c r="G491" s="11"/>
      <c r="H491" s="9"/>
      <c r="I491" s="22"/>
      <c r="J491" s="24"/>
      <c r="K49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91" s="22"/>
    </row>
    <row r="492" spans="1:12" x14ac:dyDescent="0.25">
      <c r="A492" s="13"/>
      <c r="B492" s="7" t="str">
        <f>IF(Tabela2[[#This Row],[Data]]="","",PROPER(TEXT(Tabela2[[#This Row],[Data]],"mmm")))</f>
        <v/>
      </c>
      <c r="C492" s="1" t="str">
        <f>IF(Tabela2[[#This Row],[Data]]="","",PROPER(TEXT(Tabela2[[#This Row],[Data]],"ddd")))</f>
        <v/>
      </c>
      <c r="D492" s="9"/>
      <c r="E492" s="9"/>
      <c r="F492" s="9"/>
      <c r="G492" s="11"/>
      <c r="H492" s="9"/>
      <c r="I492" s="22"/>
      <c r="J492" s="24"/>
      <c r="K49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92" s="22"/>
    </row>
    <row r="493" spans="1:12" x14ac:dyDescent="0.25">
      <c r="A493" s="13"/>
      <c r="B493" s="7" t="str">
        <f>IF(Tabela2[[#This Row],[Data]]="","",PROPER(TEXT(Tabela2[[#This Row],[Data]],"mmm")))</f>
        <v/>
      </c>
      <c r="C493" s="1" t="str">
        <f>IF(Tabela2[[#This Row],[Data]]="","",PROPER(TEXT(Tabela2[[#This Row],[Data]],"ddd")))</f>
        <v/>
      </c>
      <c r="D493" s="9"/>
      <c r="E493" s="9"/>
      <c r="F493" s="9"/>
      <c r="G493" s="11"/>
      <c r="H493" s="9"/>
      <c r="I493" s="22"/>
      <c r="J493" s="24"/>
      <c r="K49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93" s="22"/>
    </row>
    <row r="494" spans="1:12" x14ac:dyDescent="0.25">
      <c r="A494" s="13"/>
      <c r="B494" s="7" t="str">
        <f>IF(Tabela2[[#This Row],[Data]]="","",PROPER(TEXT(Tabela2[[#This Row],[Data]],"mmm")))</f>
        <v/>
      </c>
      <c r="C494" s="1" t="str">
        <f>IF(Tabela2[[#This Row],[Data]]="","",PROPER(TEXT(Tabela2[[#This Row],[Data]],"ddd")))</f>
        <v/>
      </c>
      <c r="D494" s="9"/>
      <c r="E494" s="9"/>
      <c r="F494" s="9"/>
      <c r="G494" s="11"/>
      <c r="H494" s="9"/>
      <c r="I494" s="22"/>
      <c r="J494" s="24"/>
      <c r="K49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94" s="22"/>
    </row>
    <row r="495" spans="1:12" x14ac:dyDescent="0.25">
      <c r="A495" s="13"/>
      <c r="B495" s="7" t="str">
        <f>IF(Tabela2[[#This Row],[Data]]="","",PROPER(TEXT(Tabela2[[#This Row],[Data]],"mmm")))</f>
        <v/>
      </c>
      <c r="C495" s="1" t="str">
        <f>IF(Tabela2[[#This Row],[Data]]="","",PROPER(TEXT(Tabela2[[#This Row],[Data]],"ddd")))</f>
        <v/>
      </c>
      <c r="D495" s="9"/>
      <c r="E495" s="9"/>
      <c r="F495" s="9"/>
      <c r="G495" s="11"/>
      <c r="H495" s="9"/>
      <c r="I495" s="22"/>
      <c r="J495" s="24"/>
      <c r="K49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95" s="22"/>
    </row>
    <row r="496" spans="1:12" x14ac:dyDescent="0.25">
      <c r="A496" s="13"/>
      <c r="B496" s="7" t="str">
        <f>IF(Tabela2[[#This Row],[Data]]="","",PROPER(TEXT(Tabela2[[#This Row],[Data]],"mmm")))</f>
        <v/>
      </c>
      <c r="C496" s="1" t="str">
        <f>IF(Tabela2[[#This Row],[Data]]="","",PROPER(TEXT(Tabela2[[#This Row],[Data]],"ddd")))</f>
        <v/>
      </c>
      <c r="D496" s="9"/>
      <c r="E496" s="9"/>
      <c r="F496" s="9"/>
      <c r="G496" s="11"/>
      <c r="H496" s="9"/>
      <c r="I496" s="22"/>
      <c r="J496" s="24"/>
      <c r="K49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96" s="22"/>
    </row>
    <row r="497" spans="1:12" x14ac:dyDescent="0.25">
      <c r="A497" s="13"/>
      <c r="B497" s="7" t="str">
        <f>IF(Tabela2[[#This Row],[Data]]="","",PROPER(TEXT(Tabela2[[#This Row],[Data]],"mmm")))</f>
        <v/>
      </c>
      <c r="C497" s="1" t="str">
        <f>IF(Tabela2[[#This Row],[Data]]="","",PROPER(TEXT(Tabela2[[#This Row],[Data]],"ddd")))</f>
        <v/>
      </c>
      <c r="D497" s="9"/>
      <c r="E497" s="9"/>
      <c r="F497" s="9"/>
      <c r="G497" s="11"/>
      <c r="H497" s="9"/>
      <c r="I497" s="22"/>
      <c r="J497" s="24"/>
      <c r="K49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97" s="22"/>
    </row>
    <row r="498" spans="1:12" x14ac:dyDescent="0.25">
      <c r="A498" s="13"/>
      <c r="B498" s="7" t="str">
        <f>IF(Tabela2[[#This Row],[Data]]="","",PROPER(TEXT(Tabela2[[#This Row],[Data]],"mmm")))</f>
        <v/>
      </c>
      <c r="C498" s="1" t="str">
        <f>IF(Tabela2[[#This Row],[Data]]="","",PROPER(TEXT(Tabela2[[#This Row],[Data]],"ddd")))</f>
        <v/>
      </c>
      <c r="D498" s="9"/>
      <c r="E498" s="9"/>
      <c r="F498" s="9"/>
      <c r="G498" s="11"/>
      <c r="H498" s="9"/>
      <c r="I498" s="22"/>
      <c r="J498" s="24"/>
      <c r="K49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98" s="22"/>
    </row>
    <row r="499" spans="1:12" x14ac:dyDescent="0.25">
      <c r="A499" s="13"/>
      <c r="B499" s="7" t="str">
        <f>IF(Tabela2[[#This Row],[Data]]="","",PROPER(TEXT(Tabela2[[#This Row],[Data]],"mmm")))</f>
        <v/>
      </c>
      <c r="C499" s="1" t="str">
        <f>IF(Tabela2[[#This Row],[Data]]="","",PROPER(TEXT(Tabela2[[#This Row],[Data]],"ddd")))</f>
        <v/>
      </c>
      <c r="D499" s="9"/>
      <c r="E499" s="9"/>
      <c r="F499" s="9"/>
      <c r="G499" s="11"/>
      <c r="H499" s="9"/>
      <c r="I499" s="22"/>
      <c r="J499" s="24"/>
      <c r="K49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499" s="22"/>
    </row>
    <row r="500" spans="1:12" x14ac:dyDescent="0.25">
      <c r="A500" s="13"/>
      <c r="B500" s="7" t="str">
        <f>IF(Tabela2[[#This Row],[Data]]="","",PROPER(TEXT(Tabela2[[#This Row],[Data]],"mmm")))</f>
        <v/>
      </c>
      <c r="C500" s="1" t="str">
        <f>IF(Tabela2[[#This Row],[Data]]="","",PROPER(TEXT(Tabela2[[#This Row],[Data]],"ddd")))</f>
        <v/>
      </c>
      <c r="D500" s="9"/>
      <c r="E500" s="9"/>
      <c r="F500" s="9"/>
      <c r="G500" s="11"/>
      <c r="H500" s="9"/>
      <c r="I500" s="22"/>
      <c r="J500" s="24"/>
      <c r="K50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00" s="22"/>
    </row>
    <row r="501" spans="1:12" x14ac:dyDescent="0.25">
      <c r="A501" s="13"/>
      <c r="B501" s="7" t="str">
        <f>IF(Tabela2[[#This Row],[Data]]="","",PROPER(TEXT(Tabela2[[#This Row],[Data]],"mmm")))</f>
        <v/>
      </c>
      <c r="C501" s="1" t="str">
        <f>IF(Tabela2[[#This Row],[Data]]="","",PROPER(TEXT(Tabela2[[#This Row],[Data]],"ddd")))</f>
        <v/>
      </c>
      <c r="D501" s="9"/>
      <c r="E501" s="9"/>
      <c r="F501" s="9"/>
      <c r="G501" s="11"/>
      <c r="H501" s="9"/>
      <c r="I501" s="22"/>
      <c r="J501" s="24"/>
      <c r="K50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01" s="22"/>
    </row>
    <row r="502" spans="1:12" x14ac:dyDescent="0.25">
      <c r="A502" s="13"/>
      <c r="B502" s="7" t="str">
        <f>IF(Tabela2[[#This Row],[Data]]="","",PROPER(TEXT(Tabela2[[#This Row],[Data]],"mmm")))</f>
        <v/>
      </c>
      <c r="C502" s="1" t="str">
        <f>IF(Tabela2[[#This Row],[Data]]="","",PROPER(TEXT(Tabela2[[#This Row],[Data]],"ddd")))</f>
        <v/>
      </c>
      <c r="D502" s="9"/>
      <c r="E502" s="9"/>
      <c r="F502" s="9"/>
      <c r="G502" s="11"/>
      <c r="H502" s="9"/>
      <c r="I502" s="22"/>
      <c r="J502" s="24"/>
      <c r="K50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02" s="22"/>
    </row>
    <row r="503" spans="1:12" x14ac:dyDescent="0.25">
      <c r="A503" s="13"/>
      <c r="B503" s="7" t="str">
        <f>IF(Tabela2[[#This Row],[Data]]="","",PROPER(TEXT(Tabela2[[#This Row],[Data]],"mmm")))</f>
        <v/>
      </c>
      <c r="C503" s="1" t="str">
        <f>IF(Tabela2[[#This Row],[Data]]="","",PROPER(TEXT(Tabela2[[#This Row],[Data]],"ddd")))</f>
        <v/>
      </c>
      <c r="D503" s="9"/>
      <c r="E503" s="9"/>
      <c r="F503" s="9"/>
      <c r="G503" s="11"/>
      <c r="H503" s="9"/>
      <c r="I503" s="22"/>
      <c r="J503" s="24"/>
      <c r="K50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03" s="22"/>
    </row>
    <row r="504" spans="1:12" x14ac:dyDescent="0.25">
      <c r="A504" s="13"/>
      <c r="B504" s="7" t="str">
        <f>IF(Tabela2[[#This Row],[Data]]="","",PROPER(TEXT(Tabela2[[#This Row],[Data]],"mmm")))</f>
        <v/>
      </c>
      <c r="C504" s="1" t="str">
        <f>IF(Tabela2[[#This Row],[Data]]="","",PROPER(TEXT(Tabela2[[#This Row],[Data]],"ddd")))</f>
        <v/>
      </c>
      <c r="D504" s="9"/>
      <c r="E504" s="9"/>
      <c r="F504" s="9"/>
      <c r="G504" s="11"/>
      <c r="H504" s="9"/>
      <c r="I504" s="22"/>
      <c r="J504" s="24"/>
      <c r="K50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04" s="22"/>
    </row>
    <row r="505" spans="1:12" x14ac:dyDescent="0.25">
      <c r="A505" s="13"/>
      <c r="B505" s="7" t="str">
        <f>IF(Tabela2[[#This Row],[Data]]="","",PROPER(TEXT(Tabela2[[#This Row],[Data]],"mmm")))</f>
        <v/>
      </c>
      <c r="C505" s="1" t="str">
        <f>IF(Tabela2[[#This Row],[Data]]="","",PROPER(TEXT(Tabela2[[#This Row],[Data]],"ddd")))</f>
        <v/>
      </c>
      <c r="D505" s="9"/>
      <c r="E505" s="9"/>
      <c r="F505" s="9"/>
      <c r="G505" s="11"/>
      <c r="H505" s="9"/>
      <c r="I505" s="22"/>
      <c r="J505" s="24"/>
      <c r="K50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05" s="22"/>
    </row>
    <row r="506" spans="1:12" x14ac:dyDescent="0.25">
      <c r="A506" s="13"/>
      <c r="B506" s="7" t="str">
        <f>IF(Tabela2[[#This Row],[Data]]="","",PROPER(TEXT(Tabela2[[#This Row],[Data]],"mmm")))</f>
        <v/>
      </c>
      <c r="C506" s="1" t="str">
        <f>IF(Tabela2[[#This Row],[Data]]="","",PROPER(TEXT(Tabela2[[#This Row],[Data]],"ddd")))</f>
        <v/>
      </c>
      <c r="D506" s="9"/>
      <c r="E506" s="9"/>
      <c r="F506" s="9"/>
      <c r="G506" s="11"/>
      <c r="H506" s="9"/>
      <c r="I506" s="22"/>
      <c r="J506" s="24"/>
      <c r="K50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06" s="22"/>
    </row>
    <row r="507" spans="1:12" x14ac:dyDescent="0.25">
      <c r="A507" s="13"/>
      <c r="B507" s="7" t="str">
        <f>IF(Tabela2[[#This Row],[Data]]="","",PROPER(TEXT(Tabela2[[#This Row],[Data]],"mmm")))</f>
        <v/>
      </c>
      <c r="C507" s="1" t="str">
        <f>IF(Tabela2[[#This Row],[Data]]="","",PROPER(TEXT(Tabela2[[#This Row],[Data]],"ddd")))</f>
        <v/>
      </c>
      <c r="D507" s="9"/>
      <c r="E507" s="9"/>
      <c r="F507" s="9"/>
      <c r="G507" s="11"/>
      <c r="H507" s="9"/>
      <c r="I507" s="22"/>
      <c r="J507" s="24"/>
      <c r="K50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07" s="22"/>
    </row>
    <row r="508" spans="1:12" x14ac:dyDescent="0.25">
      <c r="A508" s="13"/>
      <c r="B508" s="7" t="str">
        <f>IF(Tabela2[[#This Row],[Data]]="","",PROPER(TEXT(Tabela2[[#This Row],[Data]],"mmm")))</f>
        <v/>
      </c>
      <c r="C508" s="1" t="str">
        <f>IF(Tabela2[[#This Row],[Data]]="","",PROPER(TEXT(Tabela2[[#This Row],[Data]],"ddd")))</f>
        <v/>
      </c>
      <c r="D508" s="9"/>
      <c r="E508" s="9"/>
      <c r="F508" s="9"/>
      <c r="G508" s="11"/>
      <c r="H508" s="9"/>
      <c r="I508" s="22"/>
      <c r="J508" s="24"/>
      <c r="K50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08" s="22"/>
    </row>
    <row r="509" spans="1:12" x14ac:dyDescent="0.25">
      <c r="A509" s="13"/>
      <c r="B509" s="7" t="str">
        <f>IF(Tabela2[[#This Row],[Data]]="","",PROPER(TEXT(Tabela2[[#This Row],[Data]],"mmm")))</f>
        <v/>
      </c>
      <c r="C509" s="1" t="str">
        <f>IF(Tabela2[[#This Row],[Data]]="","",PROPER(TEXT(Tabela2[[#This Row],[Data]],"ddd")))</f>
        <v/>
      </c>
      <c r="D509" s="9"/>
      <c r="E509" s="9"/>
      <c r="F509" s="9"/>
      <c r="G509" s="11"/>
      <c r="H509" s="9"/>
      <c r="I509" s="22"/>
      <c r="J509" s="24"/>
      <c r="K50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09" s="22"/>
    </row>
    <row r="510" spans="1:12" x14ac:dyDescent="0.25">
      <c r="A510" s="13"/>
      <c r="B510" s="7" t="str">
        <f>IF(Tabela2[[#This Row],[Data]]="","",PROPER(TEXT(Tabela2[[#This Row],[Data]],"mmm")))</f>
        <v/>
      </c>
      <c r="C510" s="1" t="str">
        <f>IF(Tabela2[[#This Row],[Data]]="","",PROPER(TEXT(Tabela2[[#This Row],[Data]],"ddd")))</f>
        <v/>
      </c>
      <c r="D510" s="9"/>
      <c r="E510" s="9"/>
      <c r="F510" s="9"/>
      <c r="G510" s="11"/>
      <c r="H510" s="9"/>
      <c r="I510" s="22"/>
      <c r="J510" s="24"/>
      <c r="K51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10" s="22"/>
    </row>
    <row r="511" spans="1:12" x14ac:dyDescent="0.25">
      <c r="A511" s="13"/>
      <c r="B511" s="7" t="str">
        <f>IF(Tabela2[[#This Row],[Data]]="","",PROPER(TEXT(Tabela2[[#This Row],[Data]],"mmm")))</f>
        <v/>
      </c>
      <c r="C511" s="1" t="str">
        <f>IF(Tabela2[[#This Row],[Data]]="","",PROPER(TEXT(Tabela2[[#This Row],[Data]],"ddd")))</f>
        <v/>
      </c>
      <c r="D511" s="9"/>
      <c r="E511" s="9"/>
      <c r="F511" s="9"/>
      <c r="G511" s="11"/>
      <c r="H511" s="9"/>
      <c r="I511" s="22"/>
      <c r="J511" s="24"/>
      <c r="K51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11" s="22"/>
    </row>
    <row r="512" spans="1:12" x14ac:dyDescent="0.25">
      <c r="A512" s="13"/>
      <c r="B512" s="7" t="str">
        <f>IF(Tabela2[[#This Row],[Data]]="","",PROPER(TEXT(Tabela2[[#This Row],[Data]],"mmm")))</f>
        <v/>
      </c>
      <c r="C512" s="1" t="str">
        <f>IF(Tabela2[[#This Row],[Data]]="","",PROPER(TEXT(Tabela2[[#This Row],[Data]],"ddd")))</f>
        <v/>
      </c>
      <c r="D512" s="9"/>
      <c r="E512" s="9"/>
      <c r="F512" s="9"/>
      <c r="G512" s="11"/>
      <c r="H512" s="9"/>
      <c r="I512" s="22"/>
      <c r="J512" s="24"/>
      <c r="K51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12" s="22"/>
    </row>
    <row r="513" spans="1:12" x14ac:dyDescent="0.25">
      <c r="A513" s="13"/>
      <c r="B513" s="7" t="str">
        <f>IF(Tabela2[[#This Row],[Data]]="","",PROPER(TEXT(Tabela2[[#This Row],[Data]],"mmm")))</f>
        <v/>
      </c>
      <c r="C513" s="1" t="str">
        <f>IF(Tabela2[[#This Row],[Data]]="","",PROPER(TEXT(Tabela2[[#This Row],[Data]],"ddd")))</f>
        <v/>
      </c>
      <c r="D513" s="9"/>
      <c r="E513" s="9"/>
      <c r="F513" s="9"/>
      <c r="G513" s="11"/>
      <c r="H513" s="9"/>
      <c r="I513" s="22"/>
      <c r="J513" s="24"/>
      <c r="K51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13" s="22"/>
    </row>
    <row r="514" spans="1:12" x14ac:dyDescent="0.25">
      <c r="A514" s="13"/>
      <c r="B514" s="7" t="str">
        <f>IF(Tabela2[[#This Row],[Data]]="","",PROPER(TEXT(Tabela2[[#This Row],[Data]],"mmm")))</f>
        <v/>
      </c>
      <c r="C514" s="1" t="str">
        <f>IF(Tabela2[[#This Row],[Data]]="","",PROPER(TEXT(Tabela2[[#This Row],[Data]],"ddd")))</f>
        <v/>
      </c>
      <c r="D514" s="9"/>
      <c r="E514" s="9"/>
      <c r="F514" s="9"/>
      <c r="G514" s="11"/>
      <c r="H514" s="9"/>
      <c r="I514" s="22"/>
      <c r="J514" s="24"/>
      <c r="K51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14" s="22"/>
    </row>
    <row r="515" spans="1:12" x14ac:dyDescent="0.25">
      <c r="A515" s="13"/>
      <c r="B515" s="7" t="str">
        <f>IF(Tabela2[[#This Row],[Data]]="","",PROPER(TEXT(Tabela2[[#This Row],[Data]],"mmm")))</f>
        <v/>
      </c>
      <c r="C515" s="1" t="str">
        <f>IF(Tabela2[[#This Row],[Data]]="","",PROPER(TEXT(Tabela2[[#This Row],[Data]],"ddd")))</f>
        <v/>
      </c>
      <c r="D515" s="9"/>
      <c r="E515" s="9"/>
      <c r="F515" s="9"/>
      <c r="G515" s="11"/>
      <c r="H515" s="9"/>
      <c r="I515" s="22"/>
      <c r="J515" s="24"/>
      <c r="K51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15" s="22"/>
    </row>
    <row r="516" spans="1:12" x14ac:dyDescent="0.25">
      <c r="A516" s="13"/>
      <c r="B516" s="7" t="str">
        <f>IF(Tabela2[[#This Row],[Data]]="","",PROPER(TEXT(Tabela2[[#This Row],[Data]],"mmm")))</f>
        <v/>
      </c>
      <c r="C516" s="1" t="str">
        <f>IF(Tabela2[[#This Row],[Data]]="","",PROPER(TEXT(Tabela2[[#This Row],[Data]],"ddd")))</f>
        <v/>
      </c>
      <c r="D516" s="9"/>
      <c r="E516" s="9"/>
      <c r="F516" s="9"/>
      <c r="G516" s="11"/>
      <c r="H516" s="9"/>
      <c r="I516" s="22"/>
      <c r="J516" s="24"/>
      <c r="K51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16" s="22"/>
    </row>
    <row r="517" spans="1:12" x14ac:dyDescent="0.25">
      <c r="A517" s="13"/>
      <c r="B517" s="7" t="str">
        <f>IF(Tabela2[[#This Row],[Data]]="","",PROPER(TEXT(Tabela2[[#This Row],[Data]],"mmm")))</f>
        <v/>
      </c>
      <c r="C517" s="1" t="str">
        <f>IF(Tabela2[[#This Row],[Data]]="","",PROPER(TEXT(Tabela2[[#This Row],[Data]],"ddd")))</f>
        <v/>
      </c>
      <c r="D517" s="9"/>
      <c r="E517" s="9"/>
      <c r="F517" s="9"/>
      <c r="G517" s="11"/>
      <c r="H517" s="9"/>
      <c r="I517" s="22"/>
      <c r="J517" s="24"/>
      <c r="K51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17" s="22"/>
    </row>
    <row r="518" spans="1:12" x14ac:dyDescent="0.25">
      <c r="A518" s="13"/>
      <c r="B518" s="7" t="str">
        <f>IF(Tabela2[[#This Row],[Data]]="","",PROPER(TEXT(Tabela2[[#This Row],[Data]],"mmm")))</f>
        <v/>
      </c>
      <c r="C518" s="1" t="str">
        <f>IF(Tabela2[[#This Row],[Data]]="","",PROPER(TEXT(Tabela2[[#This Row],[Data]],"ddd")))</f>
        <v/>
      </c>
      <c r="D518" s="9"/>
      <c r="E518" s="9"/>
      <c r="F518" s="9"/>
      <c r="G518" s="11"/>
      <c r="H518" s="9"/>
      <c r="I518" s="22"/>
      <c r="J518" s="24"/>
      <c r="K51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18" s="22"/>
    </row>
    <row r="519" spans="1:12" x14ac:dyDescent="0.25">
      <c r="A519" s="13"/>
      <c r="B519" s="7" t="str">
        <f>IF(Tabela2[[#This Row],[Data]]="","",PROPER(TEXT(Tabela2[[#This Row],[Data]],"mmm")))</f>
        <v/>
      </c>
      <c r="C519" s="1" t="str">
        <f>IF(Tabela2[[#This Row],[Data]]="","",PROPER(TEXT(Tabela2[[#This Row],[Data]],"ddd")))</f>
        <v/>
      </c>
      <c r="D519" s="9"/>
      <c r="E519" s="9"/>
      <c r="F519" s="9"/>
      <c r="G519" s="11"/>
      <c r="H519" s="9"/>
      <c r="I519" s="22"/>
      <c r="J519" s="24"/>
      <c r="K51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19" s="22"/>
    </row>
    <row r="520" spans="1:12" x14ac:dyDescent="0.25">
      <c r="A520" s="13"/>
      <c r="B520" s="7" t="str">
        <f>IF(Tabela2[[#This Row],[Data]]="","",PROPER(TEXT(Tabela2[[#This Row],[Data]],"mmm")))</f>
        <v/>
      </c>
      <c r="C520" s="1" t="str">
        <f>IF(Tabela2[[#This Row],[Data]]="","",PROPER(TEXT(Tabela2[[#This Row],[Data]],"ddd")))</f>
        <v/>
      </c>
      <c r="D520" s="9"/>
      <c r="E520" s="9"/>
      <c r="F520" s="9"/>
      <c r="G520" s="11"/>
      <c r="H520" s="9"/>
      <c r="I520" s="22"/>
      <c r="J520" s="24"/>
      <c r="K52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20" s="22"/>
    </row>
    <row r="521" spans="1:12" x14ac:dyDescent="0.25">
      <c r="A521" s="13"/>
      <c r="B521" s="7" t="str">
        <f>IF(Tabela2[[#This Row],[Data]]="","",PROPER(TEXT(Tabela2[[#This Row],[Data]],"mmm")))</f>
        <v/>
      </c>
      <c r="C521" s="1" t="str">
        <f>IF(Tabela2[[#This Row],[Data]]="","",PROPER(TEXT(Tabela2[[#This Row],[Data]],"ddd")))</f>
        <v/>
      </c>
      <c r="D521" s="9"/>
      <c r="E521" s="9"/>
      <c r="F521" s="9"/>
      <c r="G521" s="11"/>
      <c r="H521" s="9"/>
      <c r="I521" s="22"/>
      <c r="J521" s="24"/>
      <c r="K52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21" s="22"/>
    </row>
    <row r="522" spans="1:12" x14ac:dyDescent="0.25">
      <c r="A522" s="13"/>
      <c r="B522" s="7" t="str">
        <f>IF(Tabela2[[#This Row],[Data]]="","",PROPER(TEXT(Tabela2[[#This Row],[Data]],"mmm")))</f>
        <v/>
      </c>
      <c r="C522" s="1" t="str">
        <f>IF(Tabela2[[#This Row],[Data]]="","",PROPER(TEXT(Tabela2[[#This Row],[Data]],"ddd")))</f>
        <v/>
      </c>
      <c r="D522" s="9"/>
      <c r="E522" s="9"/>
      <c r="F522" s="9"/>
      <c r="G522" s="11"/>
      <c r="H522" s="9"/>
      <c r="I522" s="22"/>
      <c r="J522" s="24"/>
      <c r="K52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22" s="22"/>
    </row>
    <row r="523" spans="1:12" x14ac:dyDescent="0.25">
      <c r="A523" s="13"/>
      <c r="B523" s="7" t="str">
        <f>IF(Tabela2[[#This Row],[Data]]="","",PROPER(TEXT(Tabela2[[#This Row],[Data]],"mmm")))</f>
        <v/>
      </c>
      <c r="C523" s="1" t="str">
        <f>IF(Tabela2[[#This Row],[Data]]="","",PROPER(TEXT(Tabela2[[#This Row],[Data]],"ddd")))</f>
        <v/>
      </c>
      <c r="D523" s="9"/>
      <c r="E523" s="9"/>
      <c r="F523" s="9"/>
      <c r="G523" s="11"/>
      <c r="H523" s="9"/>
      <c r="I523" s="22"/>
      <c r="J523" s="24"/>
      <c r="K52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23" s="22"/>
    </row>
    <row r="524" spans="1:12" x14ac:dyDescent="0.25">
      <c r="A524" s="13"/>
      <c r="B524" s="7" t="str">
        <f>IF(Tabela2[[#This Row],[Data]]="","",PROPER(TEXT(Tabela2[[#This Row],[Data]],"mmm")))</f>
        <v/>
      </c>
      <c r="C524" s="1" t="str">
        <f>IF(Tabela2[[#This Row],[Data]]="","",PROPER(TEXT(Tabela2[[#This Row],[Data]],"ddd")))</f>
        <v/>
      </c>
      <c r="D524" s="9"/>
      <c r="E524" s="9"/>
      <c r="F524" s="9"/>
      <c r="G524" s="11"/>
      <c r="H524" s="9"/>
      <c r="I524" s="22"/>
      <c r="J524" s="24"/>
      <c r="K52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24" s="22"/>
    </row>
    <row r="525" spans="1:12" x14ac:dyDescent="0.25">
      <c r="A525" s="13"/>
      <c r="B525" s="7" t="str">
        <f>IF(Tabela2[[#This Row],[Data]]="","",PROPER(TEXT(Tabela2[[#This Row],[Data]],"mmm")))</f>
        <v/>
      </c>
      <c r="C525" s="1" t="str">
        <f>IF(Tabela2[[#This Row],[Data]]="","",PROPER(TEXT(Tabela2[[#This Row],[Data]],"ddd")))</f>
        <v/>
      </c>
      <c r="D525" s="9"/>
      <c r="E525" s="9"/>
      <c r="F525" s="9"/>
      <c r="G525" s="11"/>
      <c r="H525" s="9"/>
      <c r="I525" s="22"/>
      <c r="J525" s="24"/>
      <c r="K52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25" s="22"/>
    </row>
    <row r="526" spans="1:12" x14ac:dyDescent="0.25">
      <c r="A526" s="13"/>
      <c r="B526" s="7" t="str">
        <f>IF(Tabela2[[#This Row],[Data]]="","",PROPER(TEXT(Tabela2[[#This Row],[Data]],"mmm")))</f>
        <v/>
      </c>
      <c r="C526" s="1" t="str">
        <f>IF(Tabela2[[#This Row],[Data]]="","",PROPER(TEXT(Tabela2[[#This Row],[Data]],"ddd")))</f>
        <v/>
      </c>
      <c r="D526" s="9"/>
      <c r="E526" s="9"/>
      <c r="F526" s="9"/>
      <c r="G526" s="11"/>
      <c r="H526" s="9"/>
      <c r="I526" s="22"/>
      <c r="J526" s="24"/>
      <c r="K52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26" s="22"/>
    </row>
    <row r="527" spans="1:12" x14ac:dyDescent="0.25">
      <c r="A527" s="13"/>
      <c r="B527" s="7" t="str">
        <f>IF(Tabela2[[#This Row],[Data]]="","",PROPER(TEXT(Tabela2[[#This Row],[Data]],"mmm")))</f>
        <v/>
      </c>
      <c r="C527" s="1" t="str">
        <f>IF(Tabela2[[#This Row],[Data]]="","",PROPER(TEXT(Tabela2[[#This Row],[Data]],"ddd")))</f>
        <v/>
      </c>
      <c r="D527" s="9"/>
      <c r="E527" s="9"/>
      <c r="F527" s="9"/>
      <c r="G527" s="11"/>
      <c r="H527" s="9"/>
      <c r="I527" s="22"/>
      <c r="J527" s="24"/>
      <c r="K52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27" s="22"/>
    </row>
    <row r="528" spans="1:12" x14ac:dyDescent="0.25">
      <c r="A528" s="13"/>
      <c r="B528" s="7" t="str">
        <f>IF(Tabela2[[#This Row],[Data]]="","",PROPER(TEXT(Tabela2[[#This Row],[Data]],"mmm")))</f>
        <v/>
      </c>
      <c r="C528" s="1" t="str">
        <f>IF(Tabela2[[#This Row],[Data]]="","",PROPER(TEXT(Tabela2[[#This Row],[Data]],"ddd")))</f>
        <v/>
      </c>
      <c r="D528" s="9"/>
      <c r="E528" s="9"/>
      <c r="F528" s="9"/>
      <c r="G528" s="11"/>
      <c r="H528" s="9"/>
      <c r="I528" s="22"/>
      <c r="J528" s="24"/>
      <c r="K52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28" s="22"/>
    </row>
    <row r="529" spans="1:12" x14ac:dyDescent="0.25">
      <c r="A529" s="13"/>
      <c r="B529" s="7" t="str">
        <f>IF(Tabela2[[#This Row],[Data]]="","",PROPER(TEXT(Tabela2[[#This Row],[Data]],"mmm")))</f>
        <v/>
      </c>
      <c r="C529" s="1" t="str">
        <f>IF(Tabela2[[#This Row],[Data]]="","",PROPER(TEXT(Tabela2[[#This Row],[Data]],"ddd")))</f>
        <v/>
      </c>
      <c r="D529" s="9"/>
      <c r="E529" s="9"/>
      <c r="F529" s="9"/>
      <c r="G529" s="11"/>
      <c r="H529" s="9"/>
      <c r="I529" s="22"/>
      <c r="J529" s="24"/>
      <c r="K52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29" s="22"/>
    </row>
    <row r="530" spans="1:12" x14ac:dyDescent="0.25">
      <c r="A530" s="13"/>
      <c r="B530" s="7" t="str">
        <f>IF(Tabela2[[#This Row],[Data]]="","",PROPER(TEXT(Tabela2[[#This Row],[Data]],"mmm")))</f>
        <v/>
      </c>
      <c r="C530" s="1" t="str">
        <f>IF(Tabela2[[#This Row],[Data]]="","",PROPER(TEXT(Tabela2[[#This Row],[Data]],"ddd")))</f>
        <v/>
      </c>
      <c r="D530" s="9"/>
      <c r="E530" s="9"/>
      <c r="F530" s="9"/>
      <c r="G530" s="11"/>
      <c r="H530" s="9"/>
      <c r="I530" s="22"/>
      <c r="J530" s="24"/>
      <c r="K53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30" s="22"/>
    </row>
    <row r="531" spans="1:12" x14ac:dyDescent="0.25">
      <c r="A531" s="13"/>
      <c r="B531" s="7" t="str">
        <f>IF(Tabela2[[#This Row],[Data]]="","",PROPER(TEXT(Tabela2[[#This Row],[Data]],"mmm")))</f>
        <v/>
      </c>
      <c r="C531" s="1" t="str">
        <f>IF(Tabela2[[#This Row],[Data]]="","",PROPER(TEXT(Tabela2[[#This Row],[Data]],"ddd")))</f>
        <v/>
      </c>
      <c r="D531" s="9"/>
      <c r="E531" s="9"/>
      <c r="F531" s="9"/>
      <c r="G531" s="11"/>
      <c r="H531" s="9"/>
      <c r="I531" s="22"/>
      <c r="J531" s="24"/>
      <c r="K53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31" s="22"/>
    </row>
    <row r="532" spans="1:12" x14ac:dyDescent="0.25">
      <c r="A532" s="13"/>
      <c r="B532" s="7" t="str">
        <f>IF(Tabela2[[#This Row],[Data]]="","",PROPER(TEXT(Tabela2[[#This Row],[Data]],"mmm")))</f>
        <v/>
      </c>
      <c r="C532" s="1" t="str">
        <f>IF(Tabela2[[#This Row],[Data]]="","",PROPER(TEXT(Tabela2[[#This Row],[Data]],"ddd")))</f>
        <v/>
      </c>
      <c r="D532" s="9"/>
      <c r="E532" s="9"/>
      <c r="F532" s="9"/>
      <c r="G532" s="11"/>
      <c r="H532" s="9"/>
      <c r="I532" s="22"/>
      <c r="J532" s="24"/>
      <c r="K53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32" s="22"/>
    </row>
    <row r="533" spans="1:12" x14ac:dyDescent="0.25">
      <c r="A533" s="13"/>
      <c r="B533" s="7" t="str">
        <f>IF(Tabela2[[#This Row],[Data]]="","",PROPER(TEXT(Tabela2[[#This Row],[Data]],"mmm")))</f>
        <v/>
      </c>
      <c r="C533" s="1" t="str">
        <f>IF(Tabela2[[#This Row],[Data]]="","",PROPER(TEXT(Tabela2[[#This Row],[Data]],"ddd")))</f>
        <v/>
      </c>
      <c r="D533" s="9"/>
      <c r="E533" s="9"/>
      <c r="F533" s="9"/>
      <c r="G533" s="11"/>
      <c r="H533" s="9"/>
      <c r="I533" s="22"/>
      <c r="J533" s="24"/>
      <c r="K53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33" s="22"/>
    </row>
    <row r="534" spans="1:12" x14ac:dyDescent="0.25">
      <c r="A534" s="13"/>
      <c r="B534" s="7" t="str">
        <f>IF(Tabela2[[#This Row],[Data]]="","",PROPER(TEXT(Tabela2[[#This Row],[Data]],"mmm")))</f>
        <v/>
      </c>
      <c r="C534" s="1" t="str">
        <f>IF(Tabela2[[#This Row],[Data]]="","",PROPER(TEXT(Tabela2[[#This Row],[Data]],"ddd")))</f>
        <v/>
      </c>
      <c r="D534" s="9"/>
      <c r="E534" s="9"/>
      <c r="F534" s="9"/>
      <c r="G534" s="11"/>
      <c r="H534" s="9"/>
      <c r="I534" s="22"/>
      <c r="J534" s="24"/>
      <c r="K53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34" s="22"/>
    </row>
    <row r="535" spans="1:12" x14ac:dyDescent="0.25">
      <c r="A535" s="13"/>
      <c r="B535" s="7" t="str">
        <f>IF(Tabela2[[#This Row],[Data]]="","",PROPER(TEXT(Tabela2[[#This Row],[Data]],"mmm")))</f>
        <v/>
      </c>
      <c r="C535" s="1" t="str">
        <f>IF(Tabela2[[#This Row],[Data]]="","",PROPER(TEXT(Tabela2[[#This Row],[Data]],"ddd")))</f>
        <v/>
      </c>
      <c r="D535" s="9"/>
      <c r="E535" s="9"/>
      <c r="F535" s="9"/>
      <c r="G535" s="11"/>
      <c r="H535" s="9"/>
      <c r="I535" s="22"/>
      <c r="J535" s="24"/>
      <c r="K53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35" s="22"/>
    </row>
    <row r="536" spans="1:12" x14ac:dyDescent="0.25">
      <c r="A536" s="13"/>
      <c r="B536" s="7" t="str">
        <f>IF(Tabela2[[#This Row],[Data]]="","",PROPER(TEXT(Tabela2[[#This Row],[Data]],"mmm")))</f>
        <v/>
      </c>
      <c r="C536" s="1" t="str">
        <f>IF(Tabela2[[#This Row],[Data]]="","",PROPER(TEXT(Tabela2[[#This Row],[Data]],"ddd")))</f>
        <v/>
      </c>
      <c r="D536" s="9"/>
      <c r="E536" s="9"/>
      <c r="F536" s="9"/>
      <c r="G536" s="11"/>
      <c r="H536" s="9"/>
      <c r="I536" s="22"/>
      <c r="J536" s="24"/>
      <c r="K53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36" s="22"/>
    </row>
    <row r="537" spans="1:12" x14ac:dyDescent="0.25">
      <c r="A537" s="13"/>
      <c r="B537" s="7" t="str">
        <f>IF(Tabela2[[#This Row],[Data]]="","",PROPER(TEXT(Tabela2[[#This Row],[Data]],"mmm")))</f>
        <v/>
      </c>
      <c r="C537" s="1" t="str">
        <f>IF(Tabela2[[#This Row],[Data]]="","",PROPER(TEXT(Tabela2[[#This Row],[Data]],"ddd")))</f>
        <v/>
      </c>
      <c r="D537" s="9"/>
      <c r="E537" s="9"/>
      <c r="F537" s="9"/>
      <c r="G537" s="11"/>
      <c r="H537" s="9"/>
      <c r="I537" s="22"/>
      <c r="J537" s="24"/>
      <c r="K53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37" s="22"/>
    </row>
    <row r="538" spans="1:12" x14ac:dyDescent="0.25">
      <c r="A538" s="13"/>
      <c r="B538" s="7" t="str">
        <f>IF(Tabela2[[#This Row],[Data]]="","",PROPER(TEXT(Tabela2[[#This Row],[Data]],"mmm")))</f>
        <v/>
      </c>
      <c r="C538" s="1" t="str">
        <f>IF(Tabela2[[#This Row],[Data]]="","",PROPER(TEXT(Tabela2[[#This Row],[Data]],"ddd")))</f>
        <v/>
      </c>
      <c r="D538" s="9"/>
      <c r="E538" s="9"/>
      <c r="F538" s="9"/>
      <c r="G538" s="11"/>
      <c r="H538" s="9"/>
      <c r="I538" s="22"/>
      <c r="J538" s="24"/>
      <c r="K53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38" s="22"/>
    </row>
    <row r="539" spans="1:12" x14ac:dyDescent="0.25">
      <c r="A539" s="13"/>
      <c r="B539" s="7" t="str">
        <f>IF(Tabela2[[#This Row],[Data]]="","",PROPER(TEXT(Tabela2[[#This Row],[Data]],"mmm")))</f>
        <v/>
      </c>
      <c r="C539" s="1" t="str">
        <f>IF(Tabela2[[#This Row],[Data]]="","",PROPER(TEXT(Tabela2[[#This Row],[Data]],"ddd")))</f>
        <v/>
      </c>
      <c r="D539" s="9"/>
      <c r="E539" s="9"/>
      <c r="F539" s="9"/>
      <c r="G539" s="11"/>
      <c r="H539" s="9"/>
      <c r="I539" s="22"/>
      <c r="J539" s="24"/>
      <c r="K53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39" s="22"/>
    </row>
    <row r="540" spans="1:12" x14ac:dyDescent="0.25">
      <c r="A540" s="13"/>
      <c r="B540" s="7" t="str">
        <f>IF(Tabela2[[#This Row],[Data]]="","",PROPER(TEXT(Tabela2[[#This Row],[Data]],"mmm")))</f>
        <v/>
      </c>
      <c r="C540" s="1" t="str">
        <f>IF(Tabela2[[#This Row],[Data]]="","",PROPER(TEXT(Tabela2[[#This Row],[Data]],"ddd")))</f>
        <v/>
      </c>
      <c r="D540" s="9"/>
      <c r="E540" s="9"/>
      <c r="F540" s="9"/>
      <c r="G540" s="11"/>
      <c r="H540" s="9"/>
      <c r="I540" s="22"/>
      <c r="J540" s="24"/>
      <c r="K54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40" s="22"/>
    </row>
    <row r="541" spans="1:12" x14ac:dyDescent="0.25">
      <c r="A541" s="13"/>
      <c r="B541" s="7" t="str">
        <f>IF(Tabela2[[#This Row],[Data]]="","",PROPER(TEXT(Tabela2[[#This Row],[Data]],"mmm")))</f>
        <v/>
      </c>
      <c r="C541" s="1" t="str">
        <f>IF(Tabela2[[#This Row],[Data]]="","",PROPER(TEXT(Tabela2[[#This Row],[Data]],"ddd")))</f>
        <v/>
      </c>
      <c r="D541" s="9"/>
      <c r="E541" s="9"/>
      <c r="F541" s="9"/>
      <c r="G541" s="11"/>
      <c r="H541" s="9"/>
      <c r="I541" s="22"/>
      <c r="J541" s="24"/>
      <c r="K54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41" s="22"/>
    </row>
    <row r="542" spans="1:12" x14ac:dyDescent="0.25">
      <c r="A542" s="13"/>
      <c r="B542" s="7" t="str">
        <f>IF(Tabela2[[#This Row],[Data]]="","",PROPER(TEXT(Tabela2[[#This Row],[Data]],"mmm")))</f>
        <v/>
      </c>
      <c r="C542" s="1" t="str">
        <f>IF(Tabela2[[#This Row],[Data]]="","",PROPER(TEXT(Tabela2[[#This Row],[Data]],"ddd")))</f>
        <v/>
      </c>
      <c r="D542" s="9"/>
      <c r="E542" s="9"/>
      <c r="F542" s="9"/>
      <c r="G542" s="11"/>
      <c r="H542" s="9"/>
      <c r="I542" s="22"/>
      <c r="J542" s="24"/>
      <c r="K54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42" s="22"/>
    </row>
    <row r="543" spans="1:12" x14ac:dyDescent="0.25">
      <c r="A543" s="13"/>
      <c r="B543" s="7" t="str">
        <f>IF(Tabela2[[#This Row],[Data]]="","",PROPER(TEXT(Tabela2[[#This Row],[Data]],"mmm")))</f>
        <v/>
      </c>
      <c r="C543" s="1" t="str">
        <f>IF(Tabela2[[#This Row],[Data]]="","",PROPER(TEXT(Tabela2[[#This Row],[Data]],"ddd")))</f>
        <v/>
      </c>
      <c r="D543" s="9"/>
      <c r="E543" s="9"/>
      <c r="F543" s="9"/>
      <c r="G543" s="11"/>
      <c r="H543" s="9"/>
      <c r="I543" s="22"/>
      <c r="J543" s="24"/>
      <c r="K54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43" s="22"/>
    </row>
    <row r="544" spans="1:12" x14ac:dyDescent="0.25">
      <c r="A544" s="13"/>
      <c r="B544" s="7" t="str">
        <f>IF(Tabela2[[#This Row],[Data]]="","",PROPER(TEXT(Tabela2[[#This Row],[Data]],"mmm")))</f>
        <v/>
      </c>
      <c r="C544" s="1" t="str">
        <f>IF(Tabela2[[#This Row],[Data]]="","",PROPER(TEXT(Tabela2[[#This Row],[Data]],"ddd")))</f>
        <v/>
      </c>
      <c r="D544" s="9"/>
      <c r="E544" s="9"/>
      <c r="F544" s="9"/>
      <c r="G544" s="11"/>
      <c r="H544" s="9"/>
      <c r="I544" s="22"/>
      <c r="J544" s="24"/>
      <c r="K54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44" s="22"/>
    </row>
    <row r="545" spans="1:12" x14ac:dyDescent="0.25">
      <c r="A545" s="13"/>
      <c r="B545" s="7" t="str">
        <f>IF(Tabela2[[#This Row],[Data]]="","",PROPER(TEXT(Tabela2[[#This Row],[Data]],"mmm")))</f>
        <v/>
      </c>
      <c r="C545" s="1" t="str">
        <f>IF(Tabela2[[#This Row],[Data]]="","",PROPER(TEXT(Tabela2[[#This Row],[Data]],"ddd")))</f>
        <v/>
      </c>
      <c r="D545" s="9"/>
      <c r="E545" s="9"/>
      <c r="F545" s="9"/>
      <c r="G545" s="11"/>
      <c r="H545" s="9"/>
      <c r="I545" s="22"/>
      <c r="J545" s="24"/>
      <c r="K54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45" s="22"/>
    </row>
    <row r="546" spans="1:12" x14ac:dyDescent="0.25">
      <c r="A546" s="13"/>
      <c r="B546" s="7" t="str">
        <f>IF(Tabela2[[#This Row],[Data]]="","",PROPER(TEXT(Tabela2[[#This Row],[Data]],"mmm")))</f>
        <v/>
      </c>
      <c r="C546" s="1" t="str">
        <f>IF(Tabela2[[#This Row],[Data]]="","",PROPER(TEXT(Tabela2[[#This Row],[Data]],"ddd")))</f>
        <v/>
      </c>
      <c r="D546" s="9"/>
      <c r="E546" s="9"/>
      <c r="F546" s="9"/>
      <c r="G546" s="11"/>
      <c r="H546" s="9"/>
      <c r="I546" s="22"/>
      <c r="J546" s="24"/>
      <c r="K54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46" s="22"/>
    </row>
    <row r="547" spans="1:12" x14ac:dyDescent="0.25">
      <c r="A547" s="13"/>
      <c r="B547" s="7" t="str">
        <f>IF(Tabela2[[#This Row],[Data]]="","",PROPER(TEXT(Tabela2[[#This Row],[Data]],"mmm")))</f>
        <v/>
      </c>
      <c r="C547" s="1" t="str">
        <f>IF(Tabela2[[#This Row],[Data]]="","",PROPER(TEXT(Tabela2[[#This Row],[Data]],"ddd")))</f>
        <v/>
      </c>
      <c r="D547" s="9"/>
      <c r="E547" s="9"/>
      <c r="F547" s="9"/>
      <c r="G547" s="11"/>
      <c r="H547" s="9"/>
      <c r="I547" s="22"/>
      <c r="J547" s="24"/>
      <c r="K54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47" s="22"/>
    </row>
    <row r="548" spans="1:12" x14ac:dyDescent="0.25">
      <c r="A548" s="13"/>
      <c r="B548" s="7" t="str">
        <f>IF(Tabela2[[#This Row],[Data]]="","",PROPER(TEXT(Tabela2[[#This Row],[Data]],"mmm")))</f>
        <v/>
      </c>
      <c r="C548" s="1" t="str">
        <f>IF(Tabela2[[#This Row],[Data]]="","",PROPER(TEXT(Tabela2[[#This Row],[Data]],"ddd")))</f>
        <v/>
      </c>
      <c r="D548" s="9"/>
      <c r="E548" s="9"/>
      <c r="F548" s="9"/>
      <c r="G548" s="11"/>
      <c r="H548" s="9"/>
      <c r="I548" s="22"/>
      <c r="J548" s="24"/>
      <c r="K54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48" s="22"/>
    </row>
    <row r="549" spans="1:12" x14ac:dyDescent="0.25">
      <c r="A549" s="13"/>
      <c r="B549" s="7" t="str">
        <f>IF(Tabela2[[#This Row],[Data]]="","",PROPER(TEXT(Tabela2[[#This Row],[Data]],"mmm")))</f>
        <v/>
      </c>
      <c r="C549" s="1" t="str">
        <f>IF(Tabela2[[#This Row],[Data]]="","",PROPER(TEXT(Tabela2[[#This Row],[Data]],"ddd")))</f>
        <v/>
      </c>
      <c r="D549" s="9"/>
      <c r="E549" s="9"/>
      <c r="F549" s="9"/>
      <c r="G549" s="11"/>
      <c r="H549" s="9"/>
      <c r="I549" s="22"/>
      <c r="J549" s="24"/>
      <c r="K54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49" s="22"/>
    </row>
    <row r="550" spans="1:12" x14ac:dyDescent="0.25">
      <c r="A550" s="13"/>
      <c r="B550" s="7" t="str">
        <f>IF(Tabela2[[#This Row],[Data]]="","",PROPER(TEXT(Tabela2[[#This Row],[Data]],"mmm")))</f>
        <v/>
      </c>
      <c r="C550" s="1" t="str">
        <f>IF(Tabela2[[#This Row],[Data]]="","",PROPER(TEXT(Tabela2[[#This Row],[Data]],"ddd")))</f>
        <v/>
      </c>
      <c r="D550" s="9"/>
      <c r="E550" s="9"/>
      <c r="F550" s="9"/>
      <c r="G550" s="11"/>
      <c r="H550" s="9"/>
      <c r="I550" s="22"/>
      <c r="J550" s="24"/>
      <c r="K55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50" s="22"/>
    </row>
    <row r="551" spans="1:12" x14ac:dyDescent="0.25">
      <c r="A551" s="13"/>
      <c r="B551" s="7" t="str">
        <f>IF(Tabela2[[#This Row],[Data]]="","",PROPER(TEXT(Tabela2[[#This Row],[Data]],"mmm")))</f>
        <v/>
      </c>
      <c r="C551" s="1" t="str">
        <f>IF(Tabela2[[#This Row],[Data]]="","",PROPER(TEXT(Tabela2[[#This Row],[Data]],"ddd")))</f>
        <v/>
      </c>
      <c r="D551" s="9"/>
      <c r="E551" s="9"/>
      <c r="F551" s="9"/>
      <c r="G551" s="11"/>
      <c r="H551" s="9"/>
      <c r="I551" s="22"/>
      <c r="J551" s="24"/>
      <c r="K55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51" s="22"/>
    </row>
    <row r="552" spans="1:12" x14ac:dyDescent="0.25">
      <c r="A552" s="13"/>
      <c r="B552" s="7" t="str">
        <f>IF(Tabela2[[#This Row],[Data]]="","",PROPER(TEXT(Tabela2[[#This Row],[Data]],"mmm")))</f>
        <v/>
      </c>
      <c r="C552" s="1" t="str">
        <f>IF(Tabela2[[#This Row],[Data]]="","",PROPER(TEXT(Tabela2[[#This Row],[Data]],"ddd")))</f>
        <v/>
      </c>
      <c r="D552" s="9"/>
      <c r="E552" s="9"/>
      <c r="F552" s="9"/>
      <c r="G552" s="11"/>
      <c r="H552" s="9"/>
      <c r="I552" s="22"/>
      <c r="J552" s="24"/>
      <c r="K55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52" s="22"/>
    </row>
    <row r="553" spans="1:12" x14ac:dyDescent="0.25">
      <c r="A553" s="13"/>
      <c r="B553" s="7" t="str">
        <f>IF(Tabela2[[#This Row],[Data]]="","",PROPER(TEXT(Tabela2[[#This Row],[Data]],"mmm")))</f>
        <v/>
      </c>
      <c r="C553" s="1" t="str">
        <f>IF(Tabela2[[#This Row],[Data]]="","",PROPER(TEXT(Tabela2[[#This Row],[Data]],"ddd")))</f>
        <v/>
      </c>
      <c r="D553" s="9"/>
      <c r="E553" s="9"/>
      <c r="F553" s="9"/>
      <c r="G553" s="11"/>
      <c r="H553" s="9"/>
      <c r="I553" s="22"/>
      <c r="J553" s="24"/>
      <c r="K55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53" s="22"/>
    </row>
    <row r="554" spans="1:12" x14ac:dyDescent="0.25">
      <c r="A554" s="13"/>
      <c r="B554" s="7" t="str">
        <f>IF(Tabela2[[#This Row],[Data]]="","",PROPER(TEXT(Tabela2[[#This Row],[Data]],"mmm")))</f>
        <v/>
      </c>
      <c r="C554" s="1" t="str">
        <f>IF(Tabela2[[#This Row],[Data]]="","",PROPER(TEXT(Tabela2[[#This Row],[Data]],"ddd")))</f>
        <v/>
      </c>
      <c r="D554" s="9"/>
      <c r="E554" s="9"/>
      <c r="F554" s="9"/>
      <c r="G554" s="11"/>
      <c r="H554" s="9"/>
      <c r="I554" s="22"/>
      <c r="J554" s="24"/>
      <c r="K55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54" s="22"/>
    </row>
    <row r="555" spans="1:12" x14ac:dyDescent="0.25">
      <c r="A555" s="13"/>
      <c r="B555" s="7" t="str">
        <f>IF(Tabela2[[#This Row],[Data]]="","",PROPER(TEXT(Tabela2[[#This Row],[Data]],"mmm")))</f>
        <v/>
      </c>
      <c r="C555" s="1" t="str">
        <f>IF(Tabela2[[#This Row],[Data]]="","",PROPER(TEXT(Tabela2[[#This Row],[Data]],"ddd")))</f>
        <v/>
      </c>
      <c r="D555" s="9"/>
      <c r="E555" s="9"/>
      <c r="F555" s="9"/>
      <c r="G555" s="11"/>
      <c r="H555" s="9"/>
      <c r="I555" s="22"/>
      <c r="J555" s="24"/>
      <c r="K55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55" s="22"/>
    </row>
    <row r="556" spans="1:12" x14ac:dyDescent="0.25">
      <c r="A556" s="13"/>
      <c r="B556" s="7" t="str">
        <f>IF(Tabela2[[#This Row],[Data]]="","",PROPER(TEXT(Tabela2[[#This Row],[Data]],"mmm")))</f>
        <v/>
      </c>
      <c r="C556" s="1" t="str">
        <f>IF(Tabela2[[#This Row],[Data]]="","",PROPER(TEXT(Tabela2[[#This Row],[Data]],"ddd")))</f>
        <v/>
      </c>
      <c r="D556" s="9"/>
      <c r="E556" s="9"/>
      <c r="F556" s="9"/>
      <c r="G556" s="11"/>
      <c r="H556" s="9"/>
      <c r="I556" s="22"/>
      <c r="J556" s="24"/>
      <c r="K55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56" s="22"/>
    </row>
    <row r="557" spans="1:12" x14ac:dyDescent="0.25">
      <c r="A557" s="13"/>
      <c r="B557" s="7" t="str">
        <f>IF(Tabela2[[#This Row],[Data]]="","",PROPER(TEXT(Tabela2[[#This Row],[Data]],"mmm")))</f>
        <v/>
      </c>
      <c r="C557" s="1" t="str">
        <f>IF(Tabela2[[#This Row],[Data]]="","",PROPER(TEXT(Tabela2[[#This Row],[Data]],"ddd")))</f>
        <v/>
      </c>
      <c r="D557" s="9"/>
      <c r="E557" s="9"/>
      <c r="F557" s="9"/>
      <c r="G557" s="11"/>
      <c r="H557" s="9"/>
      <c r="I557" s="22"/>
      <c r="J557" s="24"/>
      <c r="K55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57" s="22"/>
    </row>
    <row r="558" spans="1:12" x14ac:dyDescent="0.25">
      <c r="A558" s="13"/>
      <c r="B558" s="7" t="str">
        <f>IF(Tabela2[[#This Row],[Data]]="","",PROPER(TEXT(Tabela2[[#This Row],[Data]],"mmm")))</f>
        <v/>
      </c>
      <c r="C558" s="1" t="str">
        <f>IF(Tabela2[[#This Row],[Data]]="","",PROPER(TEXT(Tabela2[[#This Row],[Data]],"ddd")))</f>
        <v/>
      </c>
      <c r="D558" s="9"/>
      <c r="E558" s="9"/>
      <c r="F558" s="9"/>
      <c r="G558" s="11"/>
      <c r="H558" s="9"/>
      <c r="I558" s="22"/>
      <c r="J558" s="24"/>
      <c r="K55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58" s="22"/>
    </row>
    <row r="559" spans="1:12" x14ac:dyDescent="0.25">
      <c r="A559" s="13"/>
      <c r="B559" s="7" t="str">
        <f>IF(Tabela2[[#This Row],[Data]]="","",PROPER(TEXT(Tabela2[[#This Row],[Data]],"mmm")))</f>
        <v/>
      </c>
      <c r="C559" s="1" t="str">
        <f>IF(Tabela2[[#This Row],[Data]]="","",PROPER(TEXT(Tabela2[[#This Row],[Data]],"ddd")))</f>
        <v/>
      </c>
      <c r="D559" s="9"/>
      <c r="E559" s="9"/>
      <c r="F559" s="9"/>
      <c r="G559" s="11"/>
      <c r="H559" s="9"/>
      <c r="I559" s="22"/>
      <c r="J559" s="24"/>
      <c r="K55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59" s="22"/>
    </row>
    <row r="560" spans="1:12" x14ac:dyDescent="0.25">
      <c r="A560" s="13"/>
      <c r="B560" s="7" t="str">
        <f>IF(Tabela2[[#This Row],[Data]]="","",PROPER(TEXT(Tabela2[[#This Row],[Data]],"mmm")))</f>
        <v/>
      </c>
      <c r="C560" s="1" t="str">
        <f>IF(Tabela2[[#This Row],[Data]]="","",PROPER(TEXT(Tabela2[[#This Row],[Data]],"ddd")))</f>
        <v/>
      </c>
      <c r="D560" s="9"/>
      <c r="E560" s="9"/>
      <c r="F560" s="9"/>
      <c r="G560" s="11"/>
      <c r="H560" s="9"/>
      <c r="I560" s="22"/>
      <c r="J560" s="24"/>
      <c r="K56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60" s="22"/>
    </row>
    <row r="561" spans="1:12" x14ac:dyDescent="0.25">
      <c r="A561" s="13"/>
      <c r="B561" s="7" t="str">
        <f>IF(Tabela2[[#This Row],[Data]]="","",PROPER(TEXT(Tabela2[[#This Row],[Data]],"mmm")))</f>
        <v/>
      </c>
      <c r="C561" s="1" t="str">
        <f>IF(Tabela2[[#This Row],[Data]]="","",PROPER(TEXT(Tabela2[[#This Row],[Data]],"ddd")))</f>
        <v/>
      </c>
      <c r="D561" s="9"/>
      <c r="E561" s="9"/>
      <c r="F561" s="9"/>
      <c r="G561" s="11"/>
      <c r="H561" s="9"/>
      <c r="I561" s="22"/>
      <c r="J561" s="24"/>
      <c r="K56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61" s="22"/>
    </row>
    <row r="562" spans="1:12" x14ac:dyDescent="0.25">
      <c r="A562" s="13"/>
      <c r="B562" s="7" t="str">
        <f>IF(Tabela2[[#This Row],[Data]]="","",PROPER(TEXT(Tabela2[[#This Row],[Data]],"mmm")))</f>
        <v/>
      </c>
      <c r="C562" s="1" t="str">
        <f>IF(Tabela2[[#This Row],[Data]]="","",PROPER(TEXT(Tabela2[[#This Row],[Data]],"ddd")))</f>
        <v/>
      </c>
      <c r="D562" s="9"/>
      <c r="E562" s="9"/>
      <c r="F562" s="9"/>
      <c r="G562" s="11"/>
      <c r="H562" s="9"/>
      <c r="I562" s="22"/>
      <c r="J562" s="24"/>
      <c r="K56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62" s="22"/>
    </row>
    <row r="563" spans="1:12" x14ac:dyDescent="0.25">
      <c r="A563" s="13"/>
      <c r="B563" s="7" t="str">
        <f>IF(Tabela2[[#This Row],[Data]]="","",PROPER(TEXT(Tabela2[[#This Row],[Data]],"mmm")))</f>
        <v/>
      </c>
      <c r="C563" s="1" t="str">
        <f>IF(Tabela2[[#This Row],[Data]]="","",PROPER(TEXT(Tabela2[[#This Row],[Data]],"ddd")))</f>
        <v/>
      </c>
      <c r="D563" s="9"/>
      <c r="E563" s="9"/>
      <c r="F563" s="9"/>
      <c r="G563" s="11"/>
      <c r="H563" s="9"/>
      <c r="I563" s="22"/>
      <c r="J563" s="24"/>
      <c r="K56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63" s="22"/>
    </row>
    <row r="564" spans="1:12" x14ac:dyDescent="0.25">
      <c r="A564" s="13"/>
      <c r="B564" s="7" t="str">
        <f>IF(Tabela2[[#This Row],[Data]]="","",PROPER(TEXT(Tabela2[[#This Row],[Data]],"mmm")))</f>
        <v/>
      </c>
      <c r="C564" s="1" t="str">
        <f>IF(Tabela2[[#This Row],[Data]]="","",PROPER(TEXT(Tabela2[[#This Row],[Data]],"ddd")))</f>
        <v/>
      </c>
      <c r="D564" s="9"/>
      <c r="E564" s="9"/>
      <c r="F564" s="9"/>
      <c r="G564" s="11"/>
      <c r="H564" s="9"/>
      <c r="I564" s="22"/>
      <c r="J564" s="24"/>
      <c r="K56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64" s="22"/>
    </row>
    <row r="565" spans="1:12" x14ac:dyDescent="0.25">
      <c r="A565" s="13"/>
      <c r="B565" s="7" t="str">
        <f>IF(Tabela2[[#This Row],[Data]]="","",PROPER(TEXT(Tabela2[[#This Row],[Data]],"mmm")))</f>
        <v/>
      </c>
      <c r="C565" s="1" t="str">
        <f>IF(Tabela2[[#This Row],[Data]]="","",PROPER(TEXT(Tabela2[[#This Row],[Data]],"ddd")))</f>
        <v/>
      </c>
      <c r="D565" s="9"/>
      <c r="E565" s="9"/>
      <c r="F565" s="9"/>
      <c r="G565" s="11"/>
      <c r="H565" s="9"/>
      <c r="I565" s="22"/>
      <c r="J565" s="24"/>
      <c r="K56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65" s="22"/>
    </row>
    <row r="566" spans="1:12" x14ac:dyDescent="0.25">
      <c r="A566" s="13"/>
      <c r="B566" s="7" t="str">
        <f>IF(Tabela2[[#This Row],[Data]]="","",PROPER(TEXT(Tabela2[[#This Row],[Data]],"mmm")))</f>
        <v/>
      </c>
      <c r="C566" s="1" t="str">
        <f>IF(Tabela2[[#This Row],[Data]]="","",PROPER(TEXT(Tabela2[[#This Row],[Data]],"ddd")))</f>
        <v/>
      </c>
      <c r="D566" s="9"/>
      <c r="E566" s="9"/>
      <c r="F566" s="9"/>
      <c r="G566" s="11"/>
      <c r="H566" s="9"/>
      <c r="I566" s="22"/>
      <c r="J566" s="24"/>
      <c r="K56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66" s="22"/>
    </row>
    <row r="567" spans="1:12" x14ac:dyDescent="0.25">
      <c r="A567" s="13"/>
      <c r="B567" s="7" t="str">
        <f>IF(Tabela2[[#This Row],[Data]]="","",PROPER(TEXT(Tabela2[[#This Row],[Data]],"mmm")))</f>
        <v/>
      </c>
      <c r="C567" s="1" t="str">
        <f>IF(Tabela2[[#This Row],[Data]]="","",PROPER(TEXT(Tabela2[[#This Row],[Data]],"ddd")))</f>
        <v/>
      </c>
      <c r="D567" s="9"/>
      <c r="E567" s="9"/>
      <c r="F567" s="9"/>
      <c r="G567" s="11"/>
      <c r="H567" s="9"/>
      <c r="I567" s="22"/>
      <c r="J567" s="24"/>
      <c r="K56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67" s="22"/>
    </row>
    <row r="568" spans="1:12" x14ac:dyDescent="0.25">
      <c r="A568" s="13"/>
      <c r="B568" s="7" t="str">
        <f>IF(Tabela2[[#This Row],[Data]]="","",PROPER(TEXT(Tabela2[[#This Row],[Data]],"mmm")))</f>
        <v/>
      </c>
      <c r="C568" s="1" t="str">
        <f>IF(Tabela2[[#This Row],[Data]]="","",PROPER(TEXT(Tabela2[[#This Row],[Data]],"ddd")))</f>
        <v/>
      </c>
      <c r="D568" s="9"/>
      <c r="E568" s="9"/>
      <c r="F568" s="9"/>
      <c r="G568" s="11"/>
      <c r="H568" s="9"/>
      <c r="I568" s="22"/>
      <c r="J568" s="24"/>
      <c r="K56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68" s="22"/>
    </row>
    <row r="569" spans="1:12" x14ac:dyDescent="0.25">
      <c r="A569" s="13"/>
      <c r="B569" s="7" t="str">
        <f>IF(Tabela2[[#This Row],[Data]]="","",PROPER(TEXT(Tabela2[[#This Row],[Data]],"mmm")))</f>
        <v/>
      </c>
      <c r="C569" s="1" t="str">
        <f>IF(Tabela2[[#This Row],[Data]]="","",PROPER(TEXT(Tabela2[[#This Row],[Data]],"ddd")))</f>
        <v/>
      </c>
      <c r="D569" s="9"/>
      <c r="E569" s="9"/>
      <c r="F569" s="9"/>
      <c r="G569" s="11"/>
      <c r="H569" s="9"/>
      <c r="I569" s="22"/>
      <c r="J569" s="24"/>
      <c r="K56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69" s="22"/>
    </row>
    <row r="570" spans="1:12" x14ac:dyDescent="0.25">
      <c r="A570" s="13"/>
      <c r="B570" s="7" t="str">
        <f>IF(Tabela2[[#This Row],[Data]]="","",PROPER(TEXT(Tabela2[[#This Row],[Data]],"mmm")))</f>
        <v/>
      </c>
      <c r="C570" s="1" t="str">
        <f>IF(Tabela2[[#This Row],[Data]]="","",PROPER(TEXT(Tabela2[[#This Row],[Data]],"ddd")))</f>
        <v/>
      </c>
      <c r="D570" s="9"/>
      <c r="E570" s="9"/>
      <c r="F570" s="9"/>
      <c r="G570" s="11"/>
      <c r="H570" s="9"/>
      <c r="I570" s="22"/>
      <c r="J570" s="24"/>
      <c r="K57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70" s="22"/>
    </row>
    <row r="571" spans="1:12" x14ac:dyDescent="0.25">
      <c r="A571" s="13"/>
      <c r="B571" s="7" t="str">
        <f>IF(Tabela2[[#This Row],[Data]]="","",PROPER(TEXT(Tabela2[[#This Row],[Data]],"mmm")))</f>
        <v/>
      </c>
      <c r="C571" s="1" t="str">
        <f>IF(Tabela2[[#This Row],[Data]]="","",PROPER(TEXT(Tabela2[[#This Row],[Data]],"ddd")))</f>
        <v/>
      </c>
      <c r="D571" s="9"/>
      <c r="E571" s="9"/>
      <c r="F571" s="9"/>
      <c r="G571" s="11"/>
      <c r="H571" s="9"/>
      <c r="I571" s="22"/>
      <c r="J571" s="24"/>
      <c r="K57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71" s="22"/>
    </row>
    <row r="572" spans="1:12" x14ac:dyDescent="0.25">
      <c r="A572" s="13"/>
      <c r="B572" s="7" t="str">
        <f>IF(Tabela2[[#This Row],[Data]]="","",PROPER(TEXT(Tabela2[[#This Row],[Data]],"mmm")))</f>
        <v/>
      </c>
      <c r="C572" s="1" t="str">
        <f>IF(Tabela2[[#This Row],[Data]]="","",PROPER(TEXT(Tabela2[[#This Row],[Data]],"ddd")))</f>
        <v/>
      </c>
      <c r="D572" s="9"/>
      <c r="E572" s="9"/>
      <c r="F572" s="9"/>
      <c r="G572" s="11"/>
      <c r="H572" s="9"/>
      <c r="I572" s="22"/>
      <c r="J572" s="24"/>
      <c r="K57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72" s="22"/>
    </row>
    <row r="573" spans="1:12" x14ac:dyDescent="0.25">
      <c r="A573" s="13"/>
      <c r="B573" s="7" t="str">
        <f>IF(Tabela2[[#This Row],[Data]]="","",PROPER(TEXT(Tabela2[[#This Row],[Data]],"mmm")))</f>
        <v/>
      </c>
      <c r="C573" s="1" t="str">
        <f>IF(Tabela2[[#This Row],[Data]]="","",PROPER(TEXT(Tabela2[[#This Row],[Data]],"ddd")))</f>
        <v/>
      </c>
      <c r="D573" s="9"/>
      <c r="E573" s="9"/>
      <c r="F573" s="9"/>
      <c r="G573" s="11"/>
      <c r="H573" s="9"/>
      <c r="I573" s="22"/>
      <c r="J573" s="24"/>
      <c r="K57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73" s="22"/>
    </row>
    <row r="574" spans="1:12" x14ac:dyDescent="0.25">
      <c r="A574" s="13"/>
      <c r="B574" s="7" t="str">
        <f>IF(Tabela2[[#This Row],[Data]]="","",PROPER(TEXT(Tabela2[[#This Row],[Data]],"mmm")))</f>
        <v/>
      </c>
      <c r="C574" s="1" t="str">
        <f>IF(Tabela2[[#This Row],[Data]]="","",PROPER(TEXT(Tabela2[[#This Row],[Data]],"ddd")))</f>
        <v/>
      </c>
      <c r="D574" s="9"/>
      <c r="E574" s="9"/>
      <c r="F574" s="9"/>
      <c r="G574" s="11"/>
      <c r="H574" s="9"/>
      <c r="I574" s="22"/>
      <c r="J574" s="24"/>
      <c r="K57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74" s="22"/>
    </row>
    <row r="575" spans="1:12" x14ac:dyDescent="0.25">
      <c r="A575" s="13"/>
      <c r="B575" s="7" t="str">
        <f>IF(Tabela2[[#This Row],[Data]]="","",PROPER(TEXT(Tabela2[[#This Row],[Data]],"mmm")))</f>
        <v/>
      </c>
      <c r="C575" s="1" t="str">
        <f>IF(Tabela2[[#This Row],[Data]]="","",PROPER(TEXT(Tabela2[[#This Row],[Data]],"ddd")))</f>
        <v/>
      </c>
      <c r="D575" s="9"/>
      <c r="E575" s="9"/>
      <c r="F575" s="9"/>
      <c r="G575" s="11"/>
      <c r="H575" s="9"/>
      <c r="I575" s="22"/>
      <c r="J575" s="24"/>
      <c r="K57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75" s="22"/>
    </row>
    <row r="576" spans="1:12" x14ac:dyDescent="0.25">
      <c r="A576" s="13"/>
      <c r="B576" s="7" t="str">
        <f>IF(Tabela2[[#This Row],[Data]]="","",PROPER(TEXT(Tabela2[[#This Row],[Data]],"mmm")))</f>
        <v/>
      </c>
      <c r="C576" s="1" t="str">
        <f>IF(Tabela2[[#This Row],[Data]]="","",PROPER(TEXT(Tabela2[[#This Row],[Data]],"ddd")))</f>
        <v/>
      </c>
      <c r="D576" s="9"/>
      <c r="E576" s="9"/>
      <c r="F576" s="9"/>
      <c r="G576" s="11"/>
      <c r="H576" s="9"/>
      <c r="I576" s="22"/>
      <c r="J576" s="24"/>
      <c r="K57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76" s="22"/>
    </row>
    <row r="577" spans="1:12" x14ac:dyDescent="0.25">
      <c r="A577" s="13"/>
      <c r="B577" s="7" t="str">
        <f>IF(Tabela2[[#This Row],[Data]]="","",PROPER(TEXT(Tabela2[[#This Row],[Data]],"mmm")))</f>
        <v/>
      </c>
      <c r="C577" s="1" t="str">
        <f>IF(Tabela2[[#This Row],[Data]]="","",PROPER(TEXT(Tabela2[[#This Row],[Data]],"ddd")))</f>
        <v/>
      </c>
      <c r="D577" s="9"/>
      <c r="E577" s="9"/>
      <c r="F577" s="9"/>
      <c r="G577" s="11"/>
      <c r="H577" s="9"/>
      <c r="I577" s="22"/>
      <c r="J577" s="24"/>
      <c r="K57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77" s="22"/>
    </row>
    <row r="578" spans="1:12" x14ac:dyDescent="0.25">
      <c r="A578" s="13"/>
      <c r="B578" s="7" t="str">
        <f>IF(Tabela2[[#This Row],[Data]]="","",PROPER(TEXT(Tabela2[[#This Row],[Data]],"mmm")))</f>
        <v/>
      </c>
      <c r="C578" s="1" t="str">
        <f>IF(Tabela2[[#This Row],[Data]]="","",PROPER(TEXT(Tabela2[[#This Row],[Data]],"ddd")))</f>
        <v/>
      </c>
      <c r="D578" s="9"/>
      <c r="E578" s="9"/>
      <c r="F578" s="9"/>
      <c r="G578" s="11"/>
      <c r="H578" s="9"/>
      <c r="I578" s="22"/>
      <c r="J578" s="24"/>
      <c r="K57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78" s="22"/>
    </row>
    <row r="579" spans="1:12" x14ac:dyDescent="0.25">
      <c r="A579" s="13"/>
      <c r="B579" s="7" t="str">
        <f>IF(Tabela2[[#This Row],[Data]]="","",PROPER(TEXT(Tabela2[[#This Row],[Data]],"mmm")))</f>
        <v/>
      </c>
      <c r="C579" s="1" t="str">
        <f>IF(Tabela2[[#This Row],[Data]]="","",PROPER(TEXT(Tabela2[[#This Row],[Data]],"ddd")))</f>
        <v/>
      </c>
      <c r="D579" s="9"/>
      <c r="E579" s="9"/>
      <c r="F579" s="9"/>
      <c r="G579" s="11"/>
      <c r="H579" s="9"/>
      <c r="I579" s="22"/>
      <c r="J579" s="24"/>
      <c r="K57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79" s="22"/>
    </row>
    <row r="580" spans="1:12" x14ac:dyDescent="0.25">
      <c r="A580" s="13"/>
      <c r="B580" s="7" t="str">
        <f>IF(Tabela2[[#This Row],[Data]]="","",PROPER(TEXT(Tabela2[[#This Row],[Data]],"mmm")))</f>
        <v/>
      </c>
      <c r="C580" s="1" t="str">
        <f>IF(Tabela2[[#This Row],[Data]]="","",PROPER(TEXT(Tabela2[[#This Row],[Data]],"ddd")))</f>
        <v/>
      </c>
      <c r="D580" s="9"/>
      <c r="E580" s="9"/>
      <c r="F580" s="9"/>
      <c r="G580" s="11"/>
      <c r="H580" s="9"/>
      <c r="I580" s="22"/>
      <c r="J580" s="24"/>
      <c r="K58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80" s="22"/>
    </row>
    <row r="581" spans="1:12" x14ac:dyDescent="0.25">
      <c r="A581" s="13"/>
      <c r="B581" s="7" t="str">
        <f>IF(Tabela2[[#This Row],[Data]]="","",PROPER(TEXT(Tabela2[[#This Row],[Data]],"mmm")))</f>
        <v/>
      </c>
      <c r="C581" s="1" t="str">
        <f>IF(Tabela2[[#This Row],[Data]]="","",PROPER(TEXT(Tabela2[[#This Row],[Data]],"ddd")))</f>
        <v/>
      </c>
      <c r="D581" s="9"/>
      <c r="E581" s="9"/>
      <c r="F581" s="9"/>
      <c r="G581" s="11"/>
      <c r="H581" s="9"/>
      <c r="I581" s="22"/>
      <c r="J581" s="24"/>
      <c r="K58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81" s="22"/>
    </row>
    <row r="582" spans="1:12" x14ac:dyDescent="0.25">
      <c r="A582" s="13"/>
      <c r="B582" s="7" t="str">
        <f>IF(Tabela2[[#This Row],[Data]]="","",PROPER(TEXT(Tabela2[[#This Row],[Data]],"mmm")))</f>
        <v/>
      </c>
      <c r="C582" s="1" t="str">
        <f>IF(Tabela2[[#This Row],[Data]]="","",PROPER(TEXT(Tabela2[[#This Row],[Data]],"ddd")))</f>
        <v/>
      </c>
      <c r="D582" s="9"/>
      <c r="E582" s="9"/>
      <c r="F582" s="9"/>
      <c r="G582" s="11"/>
      <c r="H582" s="9"/>
      <c r="I582" s="22"/>
      <c r="J582" s="24"/>
      <c r="K58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82" s="22"/>
    </row>
    <row r="583" spans="1:12" x14ac:dyDescent="0.25">
      <c r="A583" s="13"/>
      <c r="B583" s="7" t="str">
        <f>IF(Tabela2[[#This Row],[Data]]="","",PROPER(TEXT(Tabela2[[#This Row],[Data]],"mmm")))</f>
        <v/>
      </c>
      <c r="C583" s="1" t="str">
        <f>IF(Tabela2[[#This Row],[Data]]="","",PROPER(TEXT(Tabela2[[#This Row],[Data]],"ddd")))</f>
        <v/>
      </c>
      <c r="D583" s="9"/>
      <c r="E583" s="9"/>
      <c r="F583" s="9"/>
      <c r="G583" s="11"/>
      <c r="H583" s="9"/>
      <c r="I583" s="22"/>
      <c r="J583" s="24"/>
      <c r="K58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83" s="22"/>
    </row>
    <row r="584" spans="1:12" x14ac:dyDescent="0.25">
      <c r="A584" s="13"/>
      <c r="B584" s="7" t="str">
        <f>IF(Tabela2[[#This Row],[Data]]="","",PROPER(TEXT(Tabela2[[#This Row],[Data]],"mmm")))</f>
        <v/>
      </c>
      <c r="C584" s="1" t="str">
        <f>IF(Tabela2[[#This Row],[Data]]="","",PROPER(TEXT(Tabela2[[#This Row],[Data]],"ddd")))</f>
        <v/>
      </c>
      <c r="D584" s="9"/>
      <c r="E584" s="9"/>
      <c r="F584" s="9"/>
      <c r="G584" s="11"/>
      <c r="H584" s="9"/>
      <c r="I584" s="22"/>
      <c r="J584" s="24"/>
      <c r="K58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84" s="22"/>
    </row>
    <row r="585" spans="1:12" x14ac:dyDescent="0.25">
      <c r="A585" s="13"/>
      <c r="B585" s="7" t="str">
        <f>IF(Tabela2[[#This Row],[Data]]="","",PROPER(TEXT(Tabela2[[#This Row],[Data]],"mmm")))</f>
        <v/>
      </c>
      <c r="C585" s="1" t="str">
        <f>IF(Tabela2[[#This Row],[Data]]="","",PROPER(TEXT(Tabela2[[#This Row],[Data]],"ddd")))</f>
        <v/>
      </c>
      <c r="D585" s="9"/>
      <c r="E585" s="9"/>
      <c r="F585" s="9"/>
      <c r="G585" s="11"/>
      <c r="H585" s="9"/>
      <c r="I585" s="22"/>
      <c r="J585" s="24"/>
      <c r="K58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85" s="22"/>
    </row>
    <row r="586" spans="1:12" x14ac:dyDescent="0.25">
      <c r="A586" s="13"/>
      <c r="B586" s="7" t="str">
        <f>IF(Tabela2[[#This Row],[Data]]="","",PROPER(TEXT(Tabela2[[#This Row],[Data]],"mmm")))</f>
        <v/>
      </c>
      <c r="C586" s="1" t="str">
        <f>IF(Tabela2[[#This Row],[Data]]="","",PROPER(TEXT(Tabela2[[#This Row],[Data]],"ddd")))</f>
        <v/>
      </c>
      <c r="D586" s="9"/>
      <c r="E586" s="9"/>
      <c r="F586" s="9"/>
      <c r="G586" s="11"/>
      <c r="H586" s="9"/>
      <c r="I586" s="22"/>
      <c r="J586" s="24"/>
      <c r="K58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86" s="22"/>
    </row>
    <row r="587" spans="1:12" x14ac:dyDescent="0.25">
      <c r="A587" s="13"/>
      <c r="B587" s="7" t="str">
        <f>IF(Tabela2[[#This Row],[Data]]="","",PROPER(TEXT(Tabela2[[#This Row],[Data]],"mmm")))</f>
        <v/>
      </c>
      <c r="C587" s="1" t="str">
        <f>IF(Tabela2[[#This Row],[Data]]="","",PROPER(TEXT(Tabela2[[#This Row],[Data]],"ddd")))</f>
        <v/>
      </c>
      <c r="D587" s="9"/>
      <c r="E587" s="9"/>
      <c r="F587" s="9"/>
      <c r="G587" s="11"/>
      <c r="H587" s="9"/>
      <c r="I587" s="22"/>
      <c r="J587" s="24"/>
      <c r="K58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87" s="22"/>
    </row>
    <row r="588" spans="1:12" x14ac:dyDescent="0.25">
      <c r="A588" s="13"/>
      <c r="B588" s="7" t="str">
        <f>IF(Tabela2[[#This Row],[Data]]="","",PROPER(TEXT(Tabela2[[#This Row],[Data]],"mmm")))</f>
        <v/>
      </c>
      <c r="C588" s="1" t="str">
        <f>IF(Tabela2[[#This Row],[Data]]="","",PROPER(TEXT(Tabela2[[#This Row],[Data]],"ddd")))</f>
        <v/>
      </c>
      <c r="D588" s="9"/>
      <c r="E588" s="9"/>
      <c r="F588" s="9"/>
      <c r="G588" s="11"/>
      <c r="H588" s="9"/>
      <c r="I588" s="22"/>
      <c r="J588" s="24"/>
      <c r="K58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88" s="22"/>
    </row>
    <row r="589" spans="1:12" x14ac:dyDescent="0.25">
      <c r="A589" s="13"/>
      <c r="B589" s="7" t="str">
        <f>IF(Tabela2[[#This Row],[Data]]="","",PROPER(TEXT(Tabela2[[#This Row],[Data]],"mmm")))</f>
        <v/>
      </c>
      <c r="C589" s="1" t="str">
        <f>IF(Tabela2[[#This Row],[Data]]="","",PROPER(TEXT(Tabela2[[#This Row],[Data]],"ddd")))</f>
        <v/>
      </c>
      <c r="D589" s="9"/>
      <c r="E589" s="9"/>
      <c r="F589" s="9"/>
      <c r="G589" s="11"/>
      <c r="H589" s="9"/>
      <c r="I589" s="22"/>
      <c r="J589" s="24"/>
      <c r="K58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89" s="22"/>
    </row>
    <row r="590" spans="1:12" x14ac:dyDescent="0.25">
      <c r="A590" s="13"/>
      <c r="B590" s="7" t="str">
        <f>IF(Tabela2[[#This Row],[Data]]="","",PROPER(TEXT(Tabela2[[#This Row],[Data]],"mmm")))</f>
        <v/>
      </c>
      <c r="C590" s="1" t="str">
        <f>IF(Tabela2[[#This Row],[Data]]="","",PROPER(TEXT(Tabela2[[#This Row],[Data]],"ddd")))</f>
        <v/>
      </c>
      <c r="D590" s="9"/>
      <c r="E590" s="9"/>
      <c r="F590" s="9"/>
      <c r="G590" s="11"/>
      <c r="H590" s="9"/>
      <c r="I590" s="22"/>
      <c r="J590" s="24"/>
      <c r="K59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90" s="22"/>
    </row>
    <row r="591" spans="1:12" x14ac:dyDescent="0.25">
      <c r="A591" s="13"/>
      <c r="B591" s="7" t="str">
        <f>IF(Tabela2[[#This Row],[Data]]="","",PROPER(TEXT(Tabela2[[#This Row],[Data]],"mmm")))</f>
        <v/>
      </c>
      <c r="C591" s="1" t="str">
        <f>IF(Tabela2[[#This Row],[Data]]="","",PROPER(TEXT(Tabela2[[#This Row],[Data]],"ddd")))</f>
        <v/>
      </c>
      <c r="D591" s="9"/>
      <c r="E591" s="9"/>
      <c r="F591" s="9"/>
      <c r="G591" s="11"/>
      <c r="H591" s="9"/>
      <c r="I591" s="22"/>
      <c r="J591" s="24"/>
      <c r="K59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91" s="22"/>
    </row>
    <row r="592" spans="1:12" x14ac:dyDescent="0.25">
      <c r="A592" s="13"/>
      <c r="B592" s="7" t="str">
        <f>IF(Tabela2[[#This Row],[Data]]="","",PROPER(TEXT(Tabela2[[#This Row],[Data]],"mmm")))</f>
        <v/>
      </c>
      <c r="C592" s="1" t="str">
        <f>IF(Tabela2[[#This Row],[Data]]="","",PROPER(TEXT(Tabela2[[#This Row],[Data]],"ddd")))</f>
        <v/>
      </c>
      <c r="D592" s="9"/>
      <c r="E592" s="9"/>
      <c r="F592" s="9"/>
      <c r="G592" s="11"/>
      <c r="H592" s="9"/>
      <c r="I592" s="22"/>
      <c r="J592" s="24"/>
      <c r="K59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92" s="22"/>
    </row>
    <row r="593" spans="1:12" x14ac:dyDescent="0.25">
      <c r="A593" s="13"/>
      <c r="B593" s="7" t="str">
        <f>IF(Tabela2[[#This Row],[Data]]="","",PROPER(TEXT(Tabela2[[#This Row],[Data]],"mmm")))</f>
        <v/>
      </c>
      <c r="C593" s="1" t="str">
        <f>IF(Tabela2[[#This Row],[Data]]="","",PROPER(TEXT(Tabela2[[#This Row],[Data]],"ddd")))</f>
        <v/>
      </c>
      <c r="D593" s="9"/>
      <c r="E593" s="9"/>
      <c r="F593" s="9"/>
      <c r="G593" s="11"/>
      <c r="H593" s="9"/>
      <c r="I593" s="22"/>
      <c r="J593" s="24"/>
      <c r="K59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93" s="22"/>
    </row>
    <row r="594" spans="1:12" x14ac:dyDescent="0.25">
      <c r="A594" s="13"/>
      <c r="B594" s="7" t="str">
        <f>IF(Tabela2[[#This Row],[Data]]="","",PROPER(TEXT(Tabela2[[#This Row],[Data]],"mmm")))</f>
        <v/>
      </c>
      <c r="C594" s="1" t="str">
        <f>IF(Tabela2[[#This Row],[Data]]="","",PROPER(TEXT(Tabela2[[#This Row],[Data]],"ddd")))</f>
        <v/>
      </c>
      <c r="D594" s="9"/>
      <c r="E594" s="9"/>
      <c r="F594" s="9"/>
      <c r="G594" s="11"/>
      <c r="H594" s="9"/>
      <c r="I594" s="22"/>
      <c r="J594" s="24"/>
      <c r="K59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94" s="22"/>
    </row>
    <row r="595" spans="1:12" x14ac:dyDescent="0.25">
      <c r="A595" s="13"/>
      <c r="B595" s="7" t="str">
        <f>IF(Tabela2[[#This Row],[Data]]="","",PROPER(TEXT(Tabela2[[#This Row],[Data]],"mmm")))</f>
        <v/>
      </c>
      <c r="C595" s="1" t="str">
        <f>IF(Tabela2[[#This Row],[Data]]="","",PROPER(TEXT(Tabela2[[#This Row],[Data]],"ddd")))</f>
        <v/>
      </c>
      <c r="D595" s="9"/>
      <c r="E595" s="9"/>
      <c r="F595" s="9"/>
      <c r="G595" s="11"/>
      <c r="H595" s="9"/>
      <c r="I595" s="22"/>
      <c r="J595" s="24"/>
      <c r="K59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95" s="22"/>
    </row>
    <row r="596" spans="1:12" x14ac:dyDescent="0.25">
      <c r="A596" s="13"/>
      <c r="B596" s="7" t="str">
        <f>IF(Tabela2[[#This Row],[Data]]="","",PROPER(TEXT(Tabela2[[#This Row],[Data]],"mmm")))</f>
        <v/>
      </c>
      <c r="C596" s="1" t="str">
        <f>IF(Tabela2[[#This Row],[Data]]="","",PROPER(TEXT(Tabela2[[#This Row],[Data]],"ddd")))</f>
        <v/>
      </c>
      <c r="D596" s="9"/>
      <c r="E596" s="9"/>
      <c r="F596" s="9"/>
      <c r="G596" s="11"/>
      <c r="H596" s="9"/>
      <c r="I596" s="22"/>
      <c r="J596" s="24"/>
      <c r="K59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96" s="22"/>
    </row>
    <row r="597" spans="1:12" x14ac:dyDescent="0.25">
      <c r="A597" s="13"/>
      <c r="B597" s="7" t="str">
        <f>IF(Tabela2[[#This Row],[Data]]="","",PROPER(TEXT(Tabela2[[#This Row],[Data]],"mmm")))</f>
        <v/>
      </c>
      <c r="C597" s="1" t="str">
        <f>IF(Tabela2[[#This Row],[Data]]="","",PROPER(TEXT(Tabela2[[#This Row],[Data]],"ddd")))</f>
        <v/>
      </c>
      <c r="D597" s="9"/>
      <c r="E597" s="9"/>
      <c r="F597" s="9"/>
      <c r="G597" s="11"/>
      <c r="H597" s="9"/>
      <c r="I597" s="22"/>
      <c r="J597" s="24"/>
      <c r="K59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97" s="22"/>
    </row>
    <row r="598" spans="1:12" x14ac:dyDescent="0.25">
      <c r="A598" s="13"/>
      <c r="B598" s="7" t="str">
        <f>IF(Tabela2[[#This Row],[Data]]="","",PROPER(TEXT(Tabela2[[#This Row],[Data]],"mmm")))</f>
        <v/>
      </c>
      <c r="C598" s="1" t="str">
        <f>IF(Tabela2[[#This Row],[Data]]="","",PROPER(TEXT(Tabela2[[#This Row],[Data]],"ddd")))</f>
        <v/>
      </c>
      <c r="D598" s="9"/>
      <c r="E598" s="9"/>
      <c r="F598" s="9"/>
      <c r="G598" s="11"/>
      <c r="H598" s="9"/>
      <c r="I598" s="22"/>
      <c r="J598" s="24"/>
      <c r="K59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98" s="22"/>
    </row>
    <row r="599" spans="1:12" x14ac:dyDescent="0.25">
      <c r="A599" s="13"/>
      <c r="B599" s="7" t="str">
        <f>IF(Tabela2[[#This Row],[Data]]="","",PROPER(TEXT(Tabela2[[#This Row],[Data]],"mmm")))</f>
        <v/>
      </c>
      <c r="C599" s="1" t="str">
        <f>IF(Tabela2[[#This Row],[Data]]="","",PROPER(TEXT(Tabela2[[#This Row],[Data]],"ddd")))</f>
        <v/>
      </c>
      <c r="D599" s="9"/>
      <c r="E599" s="9"/>
      <c r="F599" s="9"/>
      <c r="G599" s="11"/>
      <c r="H599" s="9"/>
      <c r="I599" s="22"/>
      <c r="J599" s="24"/>
      <c r="K599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599" s="22"/>
    </row>
    <row r="600" spans="1:12" x14ac:dyDescent="0.25">
      <c r="A600" s="13"/>
      <c r="B600" s="7" t="str">
        <f>IF(Tabela2[[#This Row],[Data]]="","",PROPER(TEXT(Tabela2[[#This Row],[Data]],"mmm")))</f>
        <v/>
      </c>
      <c r="C600" s="1" t="str">
        <f>IF(Tabela2[[#This Row],[Data]]="","",PROPER(TEXT(Tabela2[[#This Row],[Data]],"ddd")))</f>
        <v/>
      </c>
      <c r="D600" s="9"/>
      <c r="E600" s="9"/>
      <c r="F600" s="9"/>
      <c r="G600" s="11"/>
      <c r="H600" s="9"/>
      <c r="I600" s="22"/>
      <c r="J600" s="24"/>
      <c r="K600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600" s="22"/>
    </row>
    <row r="601" spans="1:12" x14ac:dyDescent="0.25">
      <c r="A601" s="13"/>
      <c r="B601" s="7" t="str">
        <f>IF(Tabela2[[#This Row],[Data]]="","",PROPER(TEXT(Tabela2[[#This Row],[Data]],"mmm")))</f>
        <v/>
      </c>
      <c r="C601" s="1" t="str">
        <f>IF(Tabela2[[#This Row],[Data]]="","",PROPER(TEXT(Tabela2[[#This Row],[Data]],"ddd")))</f>
        <v/>
      </c>
      <c r="D601" s="9"/>
      <c r="E601" s="9"/>
      <c r="F601" s="9"/>
      <c r="G601" s="11"/>
      <c r="H601" s="9"/>
      <c r="I601" s="22"/>
      <c r="J601" s="24"/>
      <c r="K601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601" s="22"/>
    </row>
    <row r="602" spans="1:12" x14ac:dyDescent="0.25">
      <c r="A602" s="13"/>
      <c r="B602" s="7" t="str">
        <f>IF(Tabela2[[#This Row],[Data]]="","",PROPER(TEXT(Tabela2[[#This Row],[Data]],"mmm")))</f>
        <v/>
      </c>
      <c r="C602" s="1" t="str">
        <f>IF(Tabela2[[#This Row],[Data]]="","",PROPER(TEXT(Tabela2[[#This Row],[Data]],"ddd")))</f>
        <v/>
      </c>
      <c r="D602" s="9"/>
      <c r="E602" s="9"/>
      <c r="F602" s="9"/>
      <c r="G602" s="11"/>
      <c r="H602" s="9"/>
      <c r="I602" s="22"/>
      <c r="J602" s="24"/>
      <c r="K602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602" s="22"/>
    </row>
    <row r="603" spans="1:12" x14ac:dyDescent="0.25">
      <c r="A603" s="13"/>
      <c r="B603" s="7" t="str">
        <f>IF(Tabela2[[#This Row],[Data]]="","",PROPER(TEXT(Tabela2[[#This Row],[Data]],"mmm")))</f>
        <v/>
      </c>
      <c r="C603" s="1" t="str">
        <f>IF(Tabela2[[#This Row],[Data]]="","",PROPER(TEXT(Tabela2[[#This Row],[Data]],"ddd")))</f>
        <v/>
      </c>
      <c r="D603" s="9"/>
      <c r="E603" s="9"/>
      <c r="F603" s="9"/>
      <c r="G603" s="11"/>
      <c r="H603" s="9"/>
      <c r="I603" s="22"/>
      <c r="J603" s="24"/>
      <c r="K603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603" s="22"/>
    </row>
    <row r="604" spans="1:12" x14ac:dyDescent="0.25">
      <c r="A604" s="13"/>
      <c r="B604" s="7" t="str">
        <f>IF(Tabela2[[#This Row],[Data]]="","",PROPER(TEXT(Tabela2[[#This Row],[Data]],"mmm")))</f>
        <v/>
      </c>
      <c r="C604" s="1" t="str">
        <f>IF(Tabela2[[#This Row],[Data]]="","",PROPER(TEXT(Tabela2[[#This Row],[Data]],"ddd")))</f>
        <v/>
      </c>
      <c r="D604" s="9"/>
      <c r="E604" s="9"/>
      <c r="F604" s="9"/>
      <c r="G604" s="11"/>
      <c r="H604" s="9"/>
      <c r="I604" s="22"/>
      <c r="J604" s="24"/>
      <c r="K604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604" s="22"/>
    </row>
    <row r="605" spans="1:12" x14ac:dyDescent="0.25">
      <c r="A605" s="13"/>
      <c r="B605" s="7" t="str">
        <f>IF(Tabela2[[#This Row],[Data]]="","",PROPER(TEXT(Tabela2[[#This Row],[Data]],"mmm")))</f>
        <v/>
      </c>
      <c r="C605" s="1" t="str">
        <f>IF(Tabela2[[#This Row],[Data]]="","",PROPER(TEXT(Tabela2[[#This Row],[Data]],"ddd")))</f>
        <v/>
      </c>
      <c r="D605" s="9"/>
      <c r="E605" s="9"/>
      <c r="F605" s="9"/>
      <c r="G605" s="11"/>
      <c r="H605" s="9"/>
      <c r="I605" s="22"/>
      <c r="J605" s="24"/>
      <c r="K605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605" s="22"/>
    </row>
    <row r="606" spans="1:12" x14ac:dyDescent="0.25">
      <c r="A606" s="13"/>
      <c r="B606" s="7" t="str">
        <f>IF(Tabela2[[#This Row],[Data]]="","",PROPER(TEXT(Tabela2[[#This Row],[Data]],"mmm")))</f>
        <v/>
      </c>
      <c r="C606" s="1" t="str">
        <f>IF(Tabela2[[#This Row],[Data]]="","",PROPER(TEXT(Tabela2[[#This Row],[Data]],"ddd")))</f>
        <v/>
      </c>
      <c r="D606" s="9"/>
      <c r="E606" s="9"/>
      <c r="F606" s="9"/>
      <c r="G606" s="11"/>
      <c r="H606" s="9"/>
      <c r="I606" s="22"/>
      <c r="J606" s="24"/>
      <c r="K606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606" s="22"/>
    </row>
    <row r="607" spans="1:12" x14ac:dyDescent="0.25">
      <c r="A607" s="13"/>
      <c r="B607" s="7" t="str">
        <f>IF(Tabela2[[#This Row],[Data]]="","",PROPER(TEXT(Tabela2[[#This Row],[Data]],"mmm")))</f>
        <v/>
      </c>
      <c r="C607" s="1" t="str">
        <f>IF(Tabela2[[#This Row],[Data]]="","",PROPER(TEXT(Tabela2[[#This Row],[Data]],"ddd")))</f>
        <v/>
      </c>
      <c r="D607" s="9"/>
      <c r="E607" s="9"/>
      <c r="F607" s="9"/>
      <c r="G607" s="11"/>
      <c r="H607" s="9"/>
      <c r="I607" s="22"/>
      <c r="J607" s="24"/>
      <c r="K607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607" s="22"/>
    </row>
    <row r="608" spans="1:12" x14ac:dyDescent="0.25">
      <c r="A608" s="13"/>
      <c r="B608" s="7" t="str">
        <f>IF(Tabela2[[#This Row],[Data]]="","",PROPER(TEXT(Tabela2[[#This Row],[Data]],"mmm")))</f>
        <v/>
      </c>
      <c r="C608" s="1" t="str">
        <f>IF(Tabela2[[#This Row],[Data]]="","",PROPER(TEXT(Tabela2[[#This Row],[Data]],"ddd")))</f>
        <v/>
      </c>
      <c r="D608" s="9"/>
      <c r="E608" s="9"/>
      <c r="F608" s="9"/>
      <c r="G608" s="11"/>
      <c r="H608" s="9"/>
      <c r="I608" s="22"/>
      <c r="J608" s="24"/>
      <c r="K608" s="42" t="str">
        <f ca="1">IF(Tabela2[[#This Row],[Data de Vencimento]]=""," ", IF(Tabela2[[#This Row],[Data de Vencimento]]-TODAY()&gt;0,Tabela2[[#This Row],[Data de Vencimento]]-TODAY()  &amp; " Dias para Vencer ", IF(Tabela2[[#This Row],[Data de Vencimento]]-TODAY()=0,"Vence Hoje",ABS(Tabela2[[#This Row],[Data de Vencimento]]-TODAY()) &amp;  " Dias em Atraso ")))</f>
        <v xml:space="preserve"> </v>
      </c>
      <c r="L608" s="22"/>
    </row>
  </sheetData>
  <sheetProtection algorithmName="SHA-512" hashValue="YU+9ozs+yMw59sM6pJERyzRw/E03wkmwk03J2A0HdN7NQ7Ze4uRr0QNXaov62oLwGoB8FK3icZueuibly4E4iQ==" saltValue="cHrhmdOFWySHF1F8ieYTrw==" spinCount="100000" sheet="1" formatCells="0" formatColumns="0" formatRows="0" insertColumns="0" insertRows="0" insertHyperlinks="0" deleteColumns="0" deleteRows="0" sort="0" autoFilter="0" pivotTables="0"/>
  <phoneticPr fontId="6" type="noConversion"/>
  <conditionalFormatting sqref="A9:L608">
    <cfRule type="expression" dxfId="69" priority="2">
      <formula>$F9="Saída"</formula>
    </cfRule>
    <cfRule type="expression" dxfId="68" priority="3">
      <formula>$F9="Entrada"</formula>
    </cfRule>
  </conditionalFormatting>
  <dataValidations count="1">
    <dataValidation type="list" allowBlank="1" showInputMessage="1" showErrorMessage="1" sqref="F11:F12 F26:F608 F14:F15 F17:F18 F20:F21 F23:F24" xr:uid="{F48EF68E-5E20-49B0-ABCB-FD9B0050EA09}">
      <formula1>"Entrada, Saída,"</formula1>
    </dataValidation>
  </dataValidations>
  <pageMargins left="0.511811024" right="0.511811024" top="0.78740157499999996" bottom="0.78740157499999996" header="0.31496062000000002" footer="0.31496062000000002"/>
  <ignoredErrors>
    <ignoredError sqref="K10:K21 B10:C608 B6:B8 D6:D7 K27:K608" unlockedFormula="1"/>
    <ignoredError sqref="O11:O21 P11:P21" calculatedColumn="1"/>
  </ignoredErrors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7B4AC9F4-30FD-4536-9A10-002270439E8B}">
          <x14:formula1>
            <xm:f>Cadastro!$C$8:$C$16</xm:f>
          </x14:formula1>
          <xm:sqref>I11:I12 I26:I608 I14:I15 I17:I18 I20:I21 I23:I24</xm:sqref>
        </x14:dataValidation>
        <x14:dataValidation type="list" allowBlank="1" showInputMessage="1" showErrorMessage="1" xr:uid="{D29CA364-A6CE-4A6D-B776-C75F64AFEFD9}">
          <x14:formula1>
            <xm:f>Cadastro!$E$9:$E$10</xm:f>
          </x14:formula1>
          <xm:sqref>F10 F13 F16 F19 F22 F25</xm:sqref>
        </x14:dataValidation>
        <x14:dataValidation type="list" allowBlank="1" showInputMessage="1" showErrorMessage="1" xr:uid="{93D07A09-4587-4D13-857D-A64828C173E7}">
          <x14:formula1>
            <xm:f>Cadastro!$H$8:$H$20</xm:f>
          </x14:formula1>
          <xm:sqref>H11:H12 H26:H608 H14:H15 H17:H18 H20:H21 H23:H24</xm:sqref>
        </x14:dataValidation>
        <x14:dataValidation type="list" allowBlank="1" showInputMessage="1" showErrorMessage="1" xr:uid="{B4FCBBA5-584D-45B3-9C99-B08E5FD72490}">
          <x14:formula1>
            <xm:f>Cadastro!$G$8:$G$45</xm:f>
          </x14:formula1>
          <xm:sqref>E10:E608</xm:sqref>
        </x14:dataValidation>
        <x14:dataValidation type="list" allowBlank="1" showInputMessage="1" showErrorMessage="1" xr:uid="{DDE8ACCF-D717-4C80-9A73-E9A1FA3587CB}">
          <x14:formula1>
            <xm:f>Cadastro!$H$8:$H$32</xm:f>
          </x14:formula1>
          <xm:sqref>H10 H13 H16 H19 H22 H25</xm:sqref>
        </x14:dataValidation>
        <x14:dataValidation type="list" allowBlank="1" showInputMessage="1" showErrorMessage="1" xr:uid="{0CEA0922-6067-4FBB-BF47-78C58224DC26}">
          <x14:formula1>
            <xm:f>Cadastro!$I$8:$I$18</xm:f>
          </x14:formula1>
          <xm:sqref>I10 I13 I16 I19 I22 I25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AE805-6E57-4D2F-8A35-80B6144CD66C}">
  <sheetPr codeName="Planilha3"/>
  <dimension ref="A5:Q608"/>
  <sheetViews>
    <sheetView showGridLines="0" workbookViewId="0"/>
  </sheetViews>
  <sheetFormatPr defaultColWidth="20.7109375" defaultRowHeight="15" x14ac:dyDescent="0.25"/>
  <cols>
    <col min="1" max="1" width="26.28515625" bestFit="1" customWidth="1"/>
    <col min="2" max="2" width="13.5703125" bestFit="1" customWidth="1"/>
    <col min="4" max="4" width="25.5703125" bestFit="1" customWidth="1"/>
    <col min="5" max="5" width="22.140625" bestFit="1" customWidth="1"/>
    <col min="8" max="8" width="37.7109375" bestFit="1" customWidth="1"/>
    <col min="13" max="14" width="18" bestFit="1" customWidth="1"/>
  </cols>
  <sheetData>
    <row r="5" spans="1:17" x14ac:dyDescent="0.25">
      <c r="A5" s="14" t="s">
        <v>17</v>
      </c>
      <c r="B5" s="4">
        <f>SUMIF(Tabela22[Tipo],"Entrada",Tabela22[Valor (R$)])</f>
        <v>1000</v>
      </c>
    </row>
    <row r="6" spans="1:17" ht="15" customHeight="1" x14ac:dyDescent="0.25">
      <c r="A6" s="15" t="s">
        <v>18</v>
      </c>
      <c r="B6" s="5">
        <f>SUMIF(Tabela22[Tipo],"Saída",Tabela22[Valor (R$)])</f>
        <v>0</v>
      </c>
      <c r="C6" s="2"/>
      <c r="D6" s="2"/>
      <c r="E6" s="2"/>
      <c r="L6" s="3"/>
    </row>
    <row r="7" spans="1:17" ht="15" customHeight="1" x14ac:dyDescent="0.25">
      <c r="A7" s="16" t="s">
        <v>19</v>
      </c>
      <c r="B7" s="6">
        <f>B5-B6</f>
        <v>1000</v>
      </c>
      <c r="C7" s="2"/>
      <c r="D7" s="2"/>
      <c r="E7" s="2"/>
      <c r="L7" s="3"/>
    </row>
    <row r="8" spans="1:17" ht="15" customHeight="1" x14ac:dyDescent="0.25">
      <c r="A8" s="27" t="s">
        <v>74</v>
      </c>
      <c r="B8" s="41">
        <f>COUNTIF(Tabela22[[Status ]],"Pendente")</f>
        <v>0</v>
      </c>
      <c r="C8" s="2"/>
      <c r="D8" s="2"/>
      <c r="E8" s="2"/>
      <c r="L8" s="3"/>
    </row>
    <row r="9" spans="1:17" s="67" customFormat="1" x14ac:dyDescent="0.25">
      <c r="A9" s="64" t="s">
        <v>0</v>
      </c>
      <c r="B9" s="64" t="s">
        <v>6</v>
      </c>
      <c r="C9" s="64" t="s">
        <v>11</v>
      </c>
      <c r="D9" s="65" t="s">
        <v>1</v>
      </c>
      <c r="E9" s="65" t="s">
        <v>2</v>
      </c>
      <c r="F9" s="65" t="s">
        <v>3</v>
      </c>
      <c r="G9" s="65" t="s">
        <v>4</v>
      </c>
      <c r="H9" s="65" t="s">
        <v>145</v>
      </c>
      <c r="I9" s="66" t="s">
        <v>65</v>
      </c>
      <c r="J9" s="66" t="s">
        <v>72</v>
      </c>
      <c r="K9" s="66" t="s">
        <v>73</v>
      </c>
      <c r="L9" s="66" t="s">
        <v>5</v>
      </c>
      <c r="N9" s="68" t="s">
        <v>6</v>
      </c>
      <c r="O9" s="69" t="s">
        <v>9</v>
      </c>
      <c r="P9" s="69" t="s">
        <v>10</v>
      </c>
      <c r="Q9" s="70" t="s">
        <v>85</v>
      </c>
    </row>
    <row r="10" spans="1:17" x14ac:dyDescent="0.25">
      <c r="A10" s="8">
        <v>46152</v>
      </c>
      <c r="B10" s="1" t="str">
        <f>IF(Tabela22[[#This Row],[Data]]="","",PROPER(TEXT(Tabela22[[#This Row],[Data]],"mmm")))</f>
        <v>Mai</v>
      </c>
      <c r="C10" s="1" t="str">
        <f>IF(Tabela22[[#This Row],[Data]]="","",PROPER(TEXT(Tabela22[[#This Row],[Data]],"ddd")))</f>
        <v>Dom</v>
      </c>
      <c r="D10" s="9" t="s">
        <v>147</v>
      </c>
      <c r="E10" s="9" t="s">
        <v>22</v>
      </c>
      <c r="F10" s="9" t="s">
        <v>9</v>
      </c>
      <c r="G10" s="10">
        <v>1000</v>
      </c>
      <c r="H10" s="9" t="s">
        <v>14</v>
      </c>
      <c r="I10" s="22" t="s">
        <v>68</v>
      </c>
      <c r="J10" s="13"/>
      <c r="K1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0" s="22"/>
      <c r="N10" s="58" t="s">
        <v>86</v>
      </c>
      <c r="O10" s="52">
        <f>SUMIFS(Tabela22[Valor (R$)],Tabela22[Mês],"JAN",Tabela22[Tipo],"Entrada")</f>
        <v>0</v>
      </c>
      <c r="P10" s="52">
        <f>SUMIFS(Tabela22[Valor (R$)],Tabela22[Mês],"JAN",Tabela22[Tipo],"Saída")</f>
        <v>0</v>
      </c>
      <c r="Q10" s="54">
        <f>Tabela1214[[#This Row],[Entrada]]-Tabela1214[[#This Row],[Saída]]</f>
        <v>0</v>
      </c>
    </row>
    <row r="11" spans="1:17" x14ac:dyDescent="0.25">
      <c r="A11" s="8"/>
      <c r="B11" s="1" t="str">
        <f>IF(Tabela22[[#This Row],[Data]]="","",PROPER(TEXT(Tabela22[[#This Row],[Data]],"mmm")))</f>
        <v/>
      </c>
      <c r="C11" s="1" t="str">
        <f>IF(Tabela22[[#This Row],[Data]]="","",PROPER(TEXT(Tabela22[[#This Row],[Data]],"ddd")))</f>
        <v/>
      </c>
      <c r="D11" s="9"/>
      <c r="E11" s="9"/>
      <c r="F11" s="9"/>
      <c r="G11" s="11"/>
      <c r="H11" s="9"/>
      <c r="I11" s="22"/>
      <c r="J11" s="24"/>
      <c r="K1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1" s="22"/>
      <c r="N11" s="58" t="s">
        <v>87</v>
      </c>
      <c r="O11" s="52">
        <f>SUMIFS(Tabela22[Valor (R$)],Tabela22[Mês],"FEV",Tabela22[Tipo],"Entrada")</f>
        <v>0</v>
      </c>
      <c r="P11" s="52">
        <f>SUMIFS(Tabela22[Valor (R$)],Tabela22[Mês],"FEV",Tabela22[Tipo],"Saída")</f>
        <v>0</v>
      </c>
      <c r="Q11" s="54">
        <f>Tabela1214[[#This Row],[Entrada]]-Tabela1214[[#This Row],[Saída]]</f>
        <v>0</v>
      </c>
    </row>
    <row r="12" spans="1:17" x14ac:dyDescent="0.25">
      <c r="A12" s="8"/>
      <c r="B12" s="1" t="str">
        <f>IF(Tabela22[[#This Row],[Data]]="","",PROPER(TEXT(Tabela22[[#This Row],[Data]],"mmm")))</f>
        <v/>
      </c>
      <c r="C12" s="1" t="str">
        <f>IF(Tabela22[[#This Row],[Data]]="","",PROPER(TEXT(Tabela22[[#This Row],[Data]],"ddd")))</f>
        <v/>
      </c>
      <c r="D12" s="9"/>
      <c r="E12" s="9"/>
      <c r="F12" s="9"/>
      <c r="G12" s="11"/>
      <c r="H12" s="9"/>
      <c r="I12" s="22"/>
      <c r="J12" s="24"/>
      <c r="K1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2" s="22"/>
      <c r="N12" s="58" t="s">
        <v>88</v>
      </c>
      <c r="O12" s="52">
        <f>SUMIFS(Tabela22[Valor (R$)],Tabela22[Mês],"MAR",Tabela22[Tipo],"Entrada")</f>
        <v>0</v>
      </c>
      <c r="P12" s="52">
        <f>SUMIFS(Tabela22[Valor (R$)],Tabela22[Mês],"MAR",Tabela22[Tipo],"Saída")</f>
        <v>0</v>
      </c>
      <c r="Q12" s="54">
        <f>Tabela1214[[#This Row],[Entrada]]-Tabela1214[[#This Row],[Saída]]</f>
        <v>0</v>
      </c>
    </row>
    <row r="13" spans="1:17" x14ac:dyDescent="0.25">
      <c r="A13" s="8"/>
      <c r="B13" s="1" t="str">
        <f>IF(Tabela22[[#This Row],[Data]]="","",PROPER(TEXT(Tabela22[[#This Row],[Data]],"mmm")))</f>
        <v/>
      </c>
      <c r="C13" s="1" t="str">
        <f>IF(Tabela22[[#This Row],[Data]]="","",PROPER(TEXT(Tabela22[[#This Row],[Data]],"ddd")))</f>
        <v/>
      </c>
      <c r="D13" s="9"/>
      <c r="E13" s="9"/>
      <c r="F13" s="9"/>
      <c r="G13" s="10"/>
      <c r="H13" s="9"/>
      <c r="I13" s="22"/>
      <c r="J13" s="24"/>
      <c r="K1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3" s="22"/>
      <c r="N13" s="58" t="s">
        <v>89</v>
      </c>
      <c r="O13" s="52">
        <f>SUMIFS(Tabela22[Valor (R$)],Tabela22[Mês],"ABR",Tabela22[Tipo],"Entrada")</f>
        <v>0</v>
      </c>
      <c r="P13" s="52">
        <f>SUMIFS(Tabela22[Valor (R$)],Tabela22[Mês],"ABR",Tabela22[Tipo],"Saída")</f>
        <v>0</v>
      </c>
      <c r="Q13" s="54">
        <f>Tabela1214[[#This Row],[Entrada]]-Tabela1214[[#This Row],[Saída]]</f>
        <v>0</v>
      </c>
    </row>
    <row r="14" spans="1:17" x14ac:dyDescent="0.25">
      <c r="A14" s="8"/>
      <c r="B14" s="1" t="str">
        <f>IF(Tabela22[[#This Row],[Data]]="","",PROPER(TEXT(Tabela22[[#This Row],[Data]],"mmm")))</f>
        <v/>
      </c>
      <c r="C14" s="1" t="str">
        <f>IF(Tabela22[[#This Row],[Data]]="","",PROPER(TEXT(Tabela22[[#This Row],[Data]],"ddd")))</f>
        <v/>
      </c>
      <c r="D14" s="9"/>
      <c r="E14" s="9"/>
      <c r="F14" s="9"/>
      <c r="G14" s="11"/>
      <c r="H14" s="9"/>
      <c r="I14" s="22"/>
      <c r="J14" s="24"/>
      <c r="K1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4" s="22"/>
      <c r="N14" s="58" t="s">
        <v>90</v>
      </c>
      <c r="O14" s="52">
        <f>SUMIFS(Tabela22[Valor (R$)],Tabela22[Mês],"MAI",Tabela22[Tipo],"Entrada")</f>
        <v>1000</v>
      </c>
      <c r="P14" s="52">
        <f>SUMIFS(Tabela22[Valor (R$)],Tabela22[Mês],"MAI",Tabela22[Tipo],"Saída")</f>
        <v>0</v>
      </c>
      <c r="Q14" s="54">
        <f>Tabela1214[[#This Row],[Entrada]]-Tabela1214[[#This Row],[Saída]]</f>
        <v>1000</v>
      </c>
    </row>
    <row r="15" spans="1:17" x14ac:dyDescent="0.25">
      <c r="A15" s="8"/>
      <c r="B15" s="1" t="str">
        <f>IF(Tabela22[[#This Row],[Data]]="","",PROPER(TEXT(Tabela22[[#This Row],[Data]],"mmm")))</f>
        <v/>
      </c>
      <c r="C15" s="1" t="str">
        <f>IF(Tabela22[[#This Row],[Data]]="","",PROPER(TEXT(Tabela22[[#This Row],[Data]],"ddd")))</f>
        <v/>
      </c>
      <c r="D15" s="9"/>
      <c r="E15" s="9"/>
      <c r="F15" s="9"/>
      <c r="G15" s="11"/>
      <c r="H15" s="9"/>
      <c r="I15" s="22"/>
      <c r="J15" s="24"/>
      <c r="K1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5" s="22"/>
      <c r="N15" s="58" t="s">
        <v>91</v>
      </c>
      <c r="O15" s="52">
        <f>SUMIFS(Tabela22[Valor (R$)],Tabela22[Mês],"JUN",Tabela22[Tipo],"Entrada")</f>
        <v>0</v>
      </c>
      <c r="P15" s="52">
        <f>SUMIFS(Tabela22[Valor (R$)],Tabela22[Mês],"JUN",Tabela22[Tipo],"Saída")</f>
        <v>0</v>
      </c>
      <c r="Q15" s="54">
        <f>Tabela1214[[#This Row],[Entrada]]-Tabela1214[[#This Row],[Saída]]</f>
        <v>0</v>
      </c>
    </row>
    <row r="16" spans="1:17" x14ac:dyDescent="0.25">
      <c r="A16" s="8"/>
      <c r="B16" s="1" t="str">
        <f>IF(Tabela22[[#This Row],[Data]]="","",PROPER(TEXT(Tabela22[[#This Row],[Data]],"mmm")))</f>
        <v/>
      </c>
      <c r="C16" s="1" t="str">
        <f>IF(Tabela22[[#This Row],[Data]]="","",PROPER(TEXT(Tabela22[[#This Row],[Data]],"ddd")))</f>
        <v/>
      </c>
      <c r="D16" s="9"/>
      <c r="E16" s="9"/>
      <c r="F16" s="9"/>
      <c r="G16" s="10"/>
      <c r="H16" s="9"/>
      <c r="I16" s="22"/>
      <c r="J16" s="24"/>
      <c r="K1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6" s="22"/>
      <c r="N16" s="58" t="s">
        <v>92</v>
      </c>
      <c r="O16" s="52">
        <f>SUMIFS(Tabela22[Valor (R$)],Tabela22[Mês],"JUL",Tabela22[Tipo],"Entrada")</f>
        <v>0</v>
      </c>
      <c r="P16" s="52">
        <f>SUMIFS(Tabela22[Valor (R$)],Tabela22[Mês],"JUL",Tabela22[Tipo],"Saída")</f>
        <v>0</v>
      </c>
      <c r="Q16" s="54">
        <f>Tabela1214[[#This Row],[Entrada]]-Tabela1214[[#This Row],[Saída]]</f>
        <v>0</v>
      </c>
    </row>
    <row r="17" spans="1:17" x14ac:dyDescent="0.25">
      <c r="A17" s="8"/>
      <c r="B17" s="1" t="str">
        <f>IF(Tabela22[[#This Row],[Data]]="","",PROPER(TEXT(Tabela22[[#This Row],[Data]],"mmm")))</f>
        <v/>
      </c>
      <c r="C17" s="1" t="str">
        <f>IF(Tabela22[[#This Row],[Data]]="","",PROPER(TEXT(Tabela22[[#This Row],[Data]],"ddd")))</f>
        <v/>
      </c>
      <c r="D17" s="9"/>
      <c r="E17" s="9"/>
      <c r="F17" s="9"/>
      <c r="G17" s="11"/>
      <c r="H17" s="9"/>
      <c r="I17" s="22"/>
      <c r="J17" s="24"/>
      <c r="K1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7" s="22"/>
      <c r="N17" s="58" t="s">
        <v>93</v>
      </c>
      <c r="O17" s="52">
        <f>SUMIFS(Tabela22[Valor (R$)],Tabela22[Mês],"AGO",Tabela22[Tipo],"Entrada")</f>
        <v>0</v>
      </c>
      <c r="P17" s="52">
        <f>SUMIFS(Tabela22[Valor (R$)],Tabela22[Mês],"AGO",Tabela22[Tipo],"Saída")</f>
        <v>0</v>
      </c>
      <c r="Q17" s="54">
        <f>Tabela1214[[#This Row],[Entrada]]-Tabela1214[[#This Row],[Saída]]</f>
        <v>0</v>
      </c>
    </row>
    <row r="18" spans="1:17" x14ac:dyDescent="0.25">
      <c r="A18" s="8"/>
      <c r="B18" s="1" t="str">
        <f>IF(Tabela22[[#This Row],[Data]]="","",PROPER(TEXT(Tabela22[[#This Row],[Data]],"mmm")))</f>
        <v/>
      </c>
      <c r="C18" s="1" t="str">
        <f>IF(Tabela22[[#This Row],[Data]]="","",PROPER(TEXT(Tabela22[[#This Row],[Data]],"ddd")))</f>
        <v/>
      </c>
      <c r="D18" s="9"/>
      <c r="E18" s="9"/>
      <c r="F18" s="9"/>
      <c r="G18" s="11"/>
      <c r="H18" s="9"/>
      <c r="I18" s="22"/>
      <c r="J18" s="24"/>
      <c r="K1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8" s="22"/>
      <c r="N18" s="58" t="s">
        <v>94</v>
      </c>
      <c r="O18" s="52">
        <f>SUMIFS(Tabela22[Valor (R$)],Tabela22[Mês],"SET",Tabela22[Tipo],"Entrada")</f>
        <v>0</v>
      </c>
      <c r="P18" s="52">
        <f>SUMIFS(Tabela22[Valor (R$)],Tabela22[Mês],"SET",Tabela22[Tipo],"Saída")</f>
        <v>0</v>
      </c>
      <c r="Q18" s="54">
        <f>Tabela1214[[#This Row],[Entrada]]-Tabela1214[[#This Row],[Saída]]</f>
        <v>0</v>
      </c>
    </row>
    <row r="19" spans="1:17" x14ac:dyDescent="0.25">
      <c r="A19" s="8"/>
      <c r="B19" s="1" t="str">
        <f>IF(Tabela22[[#This Row],[Data]]="","",PROPER(TEXT(Tabela22[[#This Row],[Data]],"mmm")))</f>
        <v/>
      </c>
      <c r="C19" s="1" t="str">
        <f>IF(Tabela22[[#This Row],[Data]]="","",PROPER(TEXT(Tabela22[[#This Row],[Data]],"ddd")))</f>
        <v/>
      </c>
      <c r="D19" s="9"/>
      <c r="E19" s="9"/>
      <c r="F19" s="9"/>
      <c r="G19" s="10"/>
      <c r="H19" s="9"/>
      <c r="I19" s="22"/>
      <c r="J19" s="24"/>
      <c r="K1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9" s="22"/>
      <c r="N19" s="58" t="s">
        <v>95</v>
      </c>
      <c r="O19" s="52">
        <f>SUMIFS(Tabela22[Valor (R$)],Tabela22[Mês],"OUT",Tabela22[Tipo],"Entrada")</f>
        <v>0</v>
      </c>
      <c r="P19" s="52">
        <f>SUMIFS(Tabela22[Valor (R$)],Tabela22[Mês],"OUT",Tabela22[Tipo],"Saída")</f>
        <v>0</v>
      </c>
      <c r="Q19" s="54">
        <f>Tabela1214[[#This Row],[Entrada]]-Tabela1214[[#This Row],[Saída]]</f>
        <v>0</v>
      </c>
    </row>
    <row r="20" spans="1:17" x14ac:dyDescent="0.25">
      <c r="A20" s="8"/>
      <c r="B20" s="1" t="str">
        <f>IF(Tabela22[[#This Row],[Data]]="","",PROPER(TEXT(Tabela22[[#This Row],[Data]],"mmm")))</f>
        <v/>
      </c>
      <c r="C20" s="1" t="str">
        <f>IF(Tabela22[[#This Row],[Data]]="","",PROPER(TEXT(Tabela22[[#This Row],[Data]],"ddd")))</f>
        <v/>
      </c>
      <c r="D20" s="9"/>
      <c r="E20" s="9"/>
      <c r="F20" s="9"/>
      <c r="G20" s="11"/>
      <c r="H20" s="9"/>
      <c r="I20" s="22"/>
      <c r="J20" s="24"/>
      <c r="K2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0" s="22"/>
      <c r="N20" s="58" t="s">
        <v>96</v>
      </c>
      <c r="O20" s="52">
        <f>SUMIFS(Tabela22[Valor (R$)],Tabela22[Mês],"NOV",Tabela22[Tipo],"Entrada")</f>
        <v>0</v>
      </c>
      <c r="P20" s="52">
        <f>SUMIFS(Tabela22[Valor (R$)],Tabela22[Mês],"NOV",Tabela22[Tipo],"Saída")</f>
        <v>0</v>
      </c>
      <c r="Q20" s="54">
        <f>Tabela1214[[#This Row],[Entrada]]-Tabela1214[[#This Row],[Saída]]</f>
        <v>0</v>
      </c>
    </row>
    <row r="21" spans="1:17" x14ac:dyDescent="0.25">
      <c r="A21" s="8"/>
      <c r="B21" s="1" t="str">
        <f>IF(Tabela22[[#This Row],[Data]]="","",PROPER(TEXT(Tabela22[[#This Row],[Data]],"mmm")))</f>
        <v/>
      </c>
      <c r="C21" s="1" t="str">
        <f>IF(Tabela22[[#This Row],[Data]]="","",PROPER(TEXT(Tabela22[[#This Row],[Data]],"ddd")))</f>
        <v/>
      </c>
      <c r="D21" s="9"/>
      <c r="E21" s="9"/>
      <c r="F21" s="9"/>
      <c r="G21" s="11"/>
      <c r="H21" s="9"/>
      <c r="I21" s="22"/>
      <c r="J21" s="24"/>
      <c r="K2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1" s="22"/>
      <c r="N21" s="59" t="s">
        <v>97</v>
      </c>
      <c r="O21" s="52">
        <f>SUMIFS(Tabela22[Valor (R$)],Tabela22[Mês],"DEZ",Tabela22[Tipo],"Entrada")</f>
        <v>0</v>
      </c>
      <c r="P21" s="52">
        <f>SUMIFS(Tabela22[Valor (R$)],Tabela22[Mês],"DEZ",Tabela22[Tipo],"Saída")</f>
        <v>0</v>
      </c>
      <c r="Q21" s="54">
        <f>Tabela1214[[#This Row],[Entrada]]-Tabela1214[[#This Row],[Saída]]</f>
        <v>0</v>
      </c>
    </row>
    <row r="22" spans="1:17" x14ac:dyDescent="0.25">
      <c r="A22" s="8"/>
      <c r="B22" s="1" t="str">
        <f>IF(Tabela22[[#This Row],[Data]]="","",PROPER(TEXT(Tabela22[[#This Row],[Data]],"mmm")))</f>
        <v/>
      </c>
      <c r="C22" s="1" t="str">
        <f>IF(Tabela22[[#This Row],[Data]]="","",PROPER(TEXT(Tabela22[[#This Row],[Data]],"ddd")))</f>
        <v/>
      </c>
      <c r="D22" s="9"/>
      <c r="E22" s="9"/>
      <c r="F22" s="9"/>
      <c r="G22" s="10"/>
      <c r="H22" s="9"/>
      <c r="I22" s="22"/>
      <c r="J22" s="24"/>
      <c r="K2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2" s="22"/>
    </row>
    <row r="23" spans="1:17" x14ac:dyDescent="0.25">
      <c r="A23" s="8"/>
      <c r="B23" s="1" t="str">
        <f>IF(Tabela22[[#This Row],[Data]]="","",PROPER(TEXT(Tabela22[[#This Row],[Data]],"mmm")))</f>
        <v/>
      </c>
      <c r="C23" s="1" t="str">
        <f>IF(Tabela22[[#This Row],[Data]]="","",PROPER(TEXT(Tabela22[[#This Row],[Data]],"ddd")))</f>
        <v/>
      </c>
      <c r="D23" s="9"/>
      <c r="E23" s="9"/>
      <c r="F23" s="9"/>
      <c r="G23" s="11"/>
      <c r="H23" s="9"/>
      <c r="I23" s="22"/>
      <c r="J23" s="24"/>
      <c r="K2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3" s="22"/>
    </row>
    <row r="24" spans="1:17" x14ac:dyDescent="0.25">
      <c r="A24" s="8"/>
      <c r="B24" s="1" t="str">
        <f>IF(Tabela22[[#This Row],[Data]]="","",PROPER(TEXT(Tabela22[[#This Row],[Data]],"mmm")))</f>
        <v/>
      </c>
      <c r="C24" s="1" t="str">
        <f>IF(Tabela22[[#This Row],[Data]]="","",PROPER(TEXT(Tabela22[[#This Row],[Data]],"ddd")))</f>
        <v/>
      </c>
      <c r="D24" s="9"/>
      <c r="E24" s="9"/>
      <c r="F24" s="9"/>
      <c r="G24" s="11"/>
      <c r="H24" s="9"/>
      <c r="I24" s="22"/>
      <c r="J24" s="24"/>
      <c r="K2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4" s="22"/>
    </row>
    <row r="25" spans="1:17" x14ac:dyDescent="0.25">
      <c r="A25" s="8"/>
      <c r="B25" s="1" t="str">
        <f>IF(Tabela22[[#This Row],[Data]]="","",PROPER(TEXT(Tabela22[[#This Row],[Data]],"mmm")))</f>
        <v/>
      </c>
      <c r="C25" s="1" t="str">
        <f>IF(Tabela22[[#This Row],[Data]]="","",PROPER(TEXT(Tabela22[[#This Row],[Data]],"ddd")))</f>
        <v/>
      </c>
      <c r="D25" s="9"/>
      <c r="E25" s="9"/>
      <c r="F25" s="9"/>
      <c r="G25" s="11"/>
      <c r="H25" s="9"/>
      <c r="I25" s="22"/>
      <c r="J25" s="24"/>
      <c r="K2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5" s="22"/>
    </row>
    <row r="26" spans="1:17" x14ac:dyDescent="0.25">
      <c r="A26" s="8"/>
      <c r="B26" s="1" t="str">
        <f>IF(Tabela22[[#This Row],[Data]]="","",PROPER(TEXT(Tabela22[[#This Row],[Data]],"mmm")))</f>
        <v/>
      </c>
      <c r="C26" s="1" t="str">
        <f>IF(Tabela22[[#This Row],[Data]]="","",PROPER(TEXT(Tabela22[[#This Row],[Data]],"ddd")))</f>
        <v/>
      </c>
      <c r="D26" s="9"/>
      <c r="E26" s="9"/>
      <c r="F26" s="9"/>
      <c r="G26" s="11"/>
      <c r="H26" s="9"/>
      <c r="I26" s="22"/>
      <c r="J26" s="24"/>
      <c r="K2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6" s="22"/>
    </row>
    <row r="27" spans="1:17" x14ac:dyDescent="0.25">
      <c r="A27" s="8"/>
      <c r="B27" s="1" t="str">
        <f>IF(Tabela22[[#This Row],[Data]]="","",PROPER(TEXT(Tabela22[[#This Row],[Data]],"mmm")))</f>
        <v/>
      </c>
      <c r="C27" s="1" t="str">
        <f>IF(Tabela22[[#This Row],[Data]]="","",PROPER(TEXT(Tabela22[[#This Row],[Data]],"ddd")))</f>
        <v/>
      </c>
      <c r="D27" s="9"/>
      <c r="E27" s="9"/>
      <c r="F27" s="9"/>
      <c r="G27" s="11"/>
      <c r="H27" s="9"/>
      <c r="I27" s="22"/>
      <c r="J27" s="24"/>
      <c r="K2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7" s="22"/>
    </row>
    <row r="28" spans="1:17" x14ac:dyDescent="0.25">
      <c r="A28" s="8"/>
      <c r="B28" s="1" t="str">
        <f>IF(Tabela22[[#This Row],[Data]]="","",PROPER(TEXT(Tabela22[[#This Row],[Data]],"mmm")))</f>
        <v/>
      </c>
      <c r="C28" s="1" t="str">
        <f>IF(Tabela22[[#This Row],[Data]]="","",PROPER(TEXT(Tabela22[[#This Row],[Data]],"ddd")))</f>
        <v/>
      </c>
      <c r="D28" s="9"/>
      <c r="E28" s="9"/>
      <c r="F28" s="9"/>
      <c r="G28" s="10"/>
      <c r="H28" s="9"/>
      <c r="I28" s="22"/>
      <c r="J28" s="24"/>
      <c r="K2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8" s="22"/>
    </row>
    <row r="29" spans="1:17" x14ac:dyDescent="0.25">
      <c r="A29" s="8"/>
      <c r="B29" s="1" t="str">
        <f>IF(Tabela22[[#This Row],[Data]]="","",PROPER(TEXT(Tabela22[[#This Row],[Data]],"mmm")))</f>
        <v/>
      </c>
      <c r="C29" s="1" t="str">
        <f>IF(Tabela22[[#This Row],[Data]]="","",PROPER(TEXT(Tabela22[[#This Row],[Data]],"ddd")))</f>
        <v/>
      </c>
      <c r="D29" s="9"/>
      <c r="E29" s="9"/>
      <c r="F29" s="9"/>
      <c r="G29" s="11"/>
      <c r="H29" s="9"/>
      <c r="I29" s="22"/>
      <c r="J29" s="24"/>
      <c r="K2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9" s="22"/>
    </row>
    <row r="30" spans="1:17" x14ac:dyDescent="0.25">
      <c r="A30" s="8"/>
      <c r="B30" s="1" t="str">
        <f>IF(Tabela22[[#This Row],[Data]]="","",PROPER(TEXT(Tabela22[[#This Row],[Data]],"mmm")))</f>
        <v/>
      </c>
      <c r="C30" s="1" t="str">
        <f>IF(Tabela22[[#This Row],[Data]]="","",PROPER(TEXT(Tabela22[[#This Row],[Data]],"ddd")))</f>
        <v/>
      </c>
      <c r="D30" s="9"/>
      <c r="E30" s="9"/>
      <c r="F30" s="9"/>
      <c r="G30" s="11"/>
      <c r="H30" s="9"/>
      <c r="I30" s="22"/>
      <c r="J30" s="24"/>
      <c r="K3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0" s="22"/>
    </row>
    <row r="31" spans="1:17" x14ac:dyDescent="0.25">
      <c r="A31" s="8"/>
      <c r="B31" s="1" t="str">
        <f>IF(Tabela22[[#This Row],[Data]]="","",PROPER(TEXT(Tabela22[[#This Row],[Data]],"mmm")))</f>
        <v/>
      </c>
      <c r="C31" s="1" t="str">
        <f>IF(Tabela22[[#This Row],[Data]]="","",PROPER(TEXT(Tabela22[[#This Row],[Data]],"ddd")))</f>
        <v/>
      </c>
      <c r="D31" s="9"/>
      <c r="E31" s="9"/>
      <c r="F31" s="9"/>
      <c r="G31" s="11"/>
      <c r="H31" s="9"/>
      <c r="I31" s="22"/>
      <c r="J31" s="24"/>
      <c r="K3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1" s="22"/>
    </row>
    <row r="32" spans="1:17" x14ac:dyDescent="0.25">
      <c r="A32" s="8"/>
      <c r="B32" s="1" t="str">
        <f>IF(Tabela22[[#This Row],[Data]]="","",PROPER(TEXT(Tabela22[[#This Row],[Data]],"mmm")))</f>
        <v/>
      </c>
      <c r="C32" s="1" t="str">
        <f>IF(Tabela22[[#This Row],[Data]]="","",PROPER(TEXT(Tabela22[[#This Row],[Data]],"ddd")))</f>
        <v/>
      </c>
      <c r="D32" s="9"/>
      <c r="E32" s="9"/>
      <c r="F32" s="9"/>
      <c r="G32" s="11"/>
      <c r="H32" s="9"/>
      <c r="I32" s="22"/>
      <c r="J32" s="24"/>
      <c r="K3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2" s="22"/>
    </row>
    <row r="33" spans="1:12" x14ac:dyDescent="0.25">
      <c r="A33" s="8"/>
      <c r="B33" s="1" t="str">
        <f>IF(Tabela22[[#This Row],[Data]]="","",PROPER(TEXT(Tabela22[[#This Row],[Data]],"mmm")))</f>
        <v/>
      </c>
      <c r="C33" s="1" t="str">
        <f>IF(Tabela22[[#This Row],[Data]]="","",PROPER(TEXT(Tabela22[[#This Row],[Data]],"ddd")))</f>
        <v/>
      </c>
      <c r="D33" s="9"/>
      <c r="E33" s="9"/>
      <c r="F33" s="9"/>
      <c r="G33" s="11"/>
      <c r="H33" s="9"/>
      <c r="I33" s="22"/>
      <c r="J33" s="24"/>
      <c r="K3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3" s="22"/>
    </row>
    <row r="34" spans="1:12" x14ac:dyDescent="0.25">
      <c r="A34" s="8"/>
      <c r="B34" s="1" t="str">
        <f>IF(Tabela22[[#This Row],[Data]]="","",PROPER(TEXT(Tabela22[[#This Row],[Data]],"mmm")))</f>
        <v/>
      </c>
      <c r="C34" s="1" t="str">
        <f>IF(Tabela22[[#This Row],[Data]]="","",PROPER(TEXT(Tabela22[[#This Row],[Data]],"ddd")))</f>
        <v/>
      </c>
      <c r="D34" s="9"/>
      <c r="E34" s="9"/>
      <c r="F34" s="9"/>
      <c r="G34" s="10"/>
      <c r="H34" s="9"/>
      <c r="I34" s="22"/>
      <c r="J34" s="24"/>
      <c r="K3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4" s="22"/>
    </row>
    <row r="35" spans="1:12" x14ac:dyDescent="0.25">
      <c r="A35" s="8"/>
      <c r="B35" s="1" t="str">
        <f>IF(Tabela22[[#This Row],[Data]]="","",PROPER(TEXT(Tabela22[[#This Row],[Data]],"mmm")))</f>
        <v/>
      </c>
      <c r="C35" s="1" t="str">
        <f>IF(Tabela22[[#This Row],[Data]]="","",PROPER(TEXT(Tabela22[[#This Row],[Data]],"ddd")))</f>
        <v/>
      </c>
      <c r="D35" s="9"/>
      <c r="E35" s="9"/>
      <c r="F35" s="9"/>
      <c r="G35" s="11"/>
      <c r="H35" s="9"/>
      <c r="I35" s="22"/>
      <c r="J35" s="24"/>
      <c r="K3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5" s="22"/>
    </row>
    <row r="36" spans="1:12" x14ac:dyDescent="0.25">
      <c r="A36" s="8"/>
      <c r="B36" s="1" t="str">
        <f>IF(Tabela22[[#This Row],[Data]]="","",PROPER(TEXT(Tabela22[[#This Row],[Data]],"mmm")))</f>
        <v/>
      </c>
      <c r="C36" s="1" t="str">
        <f>IF(Tabela22[[#This Row],[Data]]="","",PROPER(TEXT(Tabela22[[#This Row],[Data]],"ddd")))</f>
        <v/>
      </c>
      <c r="D36" s="9"/>
      <c r="E36" s="9"/>
      <c r="F36" s="9"/>
      <c r="G36" s="11"/>
      <c r="H36" s="9"/>
      <c r="I36" s="22"/>
      <c r="J36" s="24"/>
      <c r="K3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6" s="22"/>
    </row>
    <row r="37" spans="1:12" x14ac:dyDescent="0.25">
      <c r="A37" s="8"/>
      <c r="B37" s="1" t="str">
        <f>IF(Tabela22[[#This Row],[Data]]="","",PROPER(TEXT(Tabela22[[#This Row],[Data]],"mmm")))</f>
        <v/>
      </c>
      <c r="C37" s="1" t="str">
        <f>IF(Tabela22[[#This Row],[Data]]="","",PROPER(TEXT(Tabela22[[#This Row],[Data]],"ddd")))</f>
        <v/>
      </c>
      <c r="D37" s="9"/>
      <c r="E37" s="9"/>
      <c r="F37" s="9"/>
      <c r="G37" s="11"/>
      <c r="H37" s="9"/>
      <c r="I37" s="22"/>
      <c r="J37" s="24"/>
      <c r="K3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7" s="22"/>
    </row>
    <row r="38" spans="1:12" x14ac:dyDescent="0.25">
      <c r="A38" s="8"/>
      <c r="B38" s="1" t="str">
        <f>IF(Tabela22[[#This Row],[Data]]="","",PROPER(TEXT(Tabela22[[#This Row],[Data]],"mmm")))</f>
        <v/>
      </c>
      <c r="C38" s="1" t="str">
        <f>IF(Tabela22[[#This Row],[Data]]="","",PROPER(TEXT(Tabela22[[#This Row],[Data]],"ddd")))</f>
        <v/>
      </c>
      <c r="D38" s="9"/>
      <c r="E38" s="9"/>
      <c r="F38" s="9"/>
      <c r="G38" s="11"/>
      <c r="H38" s="9"/>
      <c r="I38" s="22"/>
      <c r="J38" s="24"/>
      <c r="K3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8" s="22"/>
    </row>
    <row r="39" spans="1:12" x14ac:dyDescent="0.25">
      <c r="A39" s="8"/>
      <c r="B39" s="1" t="str">
        <f>IF(Tabela22[[#This Row],[Data]]="","",PROPER(TEXT(Tabela22[[#This Row],[Data]],"mmm")))</f>
        <v/>
      </c>
      <c r="C39" s="1" t="str">
        <f>IF(Tabela22[[#This Row],[Data]]="","",PROPER(TEXT(Tabela22[[#This Row],[Data]],"ddd")))</f>
        <v/>
      </c>
      <c r="D39" s="9"/>
      <c r="E39" s="9"/>
      <c r="F39" s="9"/>
      <c r="G39" s="11"/>
      <c r="H39" s="9"/>
      <c r="I39" s="22"/>
      <c r="J39" s="24"/>
      <c r="K3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9" s="22"/>
    </row>
    <row r="40" spans="1:12" x14ac:dyDescent="0.25">
      <c r="A40" s="8"/>
      <c r="B40" s="1" t="str">
        <f>IF(Tabela22[[#This Row],[Data]]="","",PROPER(TEXT(Tabela22[[#This Row],[Data]],"mmm")))</f>
        <v/>
      </c>
      <c r="C40" s="1" t="str">
        <f>IF(Tabela22[[#This Row],[Data]]="","",PROPER(TEXT(Tabela22[[#This Row],[Data]],"ddd")))</f>
        <v/>
      </c>
      <c r="D40" s="9"/>
      <c r="E40" s="9"/>
      <c r="F40" s="9"/>
      <c r="G40" s="10"/>
      <c r="H40" s="9"/>
      <c r="I40" s="22"/>
      <c r="J40" s="24"/>
      <c r="K4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0" s="22"/>
    </row>
    <row r="41" spans="1:12" x14ac:dyDescent="0.25">
      <c r="A41" s="8"/>
      <c r="B41" s="1" t="str">
        <f>IF(Tabela22[[#This Row],[Data]]="","",PROPER(TEXT(Tabela22[[#This Row],[Data]],"mmm")))</f>
        <v/>
      </c>
      <c r="C41" s="1" t="str">
        <f>IF(Tabela22[[#This Row],[Data]]="","",PROPER(TEXT(Tabela22[[#This Row],[Data]],"ddd")))</f>
        <v/>
      </c>
      <c r="D41" s="9"/>
      <c r="E41" s="9"/>
      <c r="F41" s="9"/>
      <c r="G41" s="11"/>
      <c r="H41" s="9"/>
      <c r="I41" s="22"/>
      <c r="J41" s="24"/>
      <c r="K4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1" s="22"/>
    </row>
    <row r="42" spans="1:12" x14ac:dyDescent="0.25">
      <c r="A42" s="8"/>
      <c r="B42" s="1" t="str">
        <f>IF(Tabela22[[#This Row],[Data]]="","",PROPER(TEXT(Tabela22[[#This Row],[Data]],"mmm")))</f>
        <v/>
      </c>
      <c r="C42" s="1" t="str">
        <f>IF(Tabela22[[#This Row],[Data]]="","",PROPER(TEXT(Tabela22[[#This Row],[Data]],"ddd")))</f>
        <v/>
      </c>
      <c r="D42" s="9"/>
      <c r="E42" s="9"/>
      <c r="F42" s="9"/>
      <c r="G42" s="11"/>
      <c r="H42" s="9"/>
      <c r="I42" s="22"/>
      <c r="J42" s="24"/>
      <c r="K4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2" s="22"/>
    </row>
    <row r="43" spans="1:12" x14ac:dyDescent="0.25">
      <c r="A43" s="8"/>
      <c r="B43" s="1" t="str">
        <f>IF(Tabela22[[#This Row],[Data]]="","",PROPER(TEXT(Tabela22[[#This Row],[Data]],"mmm")))</f>
        <v/>
      </c>
      <c r="C43" s="1" t="str">
        <f>IF(Tabela22[[#This Row],[Data]]="","",PROPER(TEXT(Tabela22[[#This Row],[Data]],"ddd")))</f>
        <v/>
      </c>
      <c r="D43" s="9"/>
      <c r="E43" s="9"/>
      <c r="F43" s="9"/>
      <c r="G43" s="11"/>
      <c r="H43" s="9"/>
      <c r="I43" s="22"/>
      <c r="J43" s="24"/>
      <c r="K4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3" s="22"/>
    </row>
    <row r="44" spans="1:12" x14ac:dyDescent="0.25">
      <c r="A44" s="8"/>
      <c r="B44" s="1" t="str">
        <f>IF(Tabela22[[#This Row],[Data]]="","",PROPER(TEXT(Tabela22[[#This Row],[Data]],"mmm")))</f>
        <v/>
      </c>
      <c r="C44" s="1" t="str">
        <f>IF(Tabela22[[#This Row],[Data]]="","",PROPER(TEXT(Tabela22[[#This Row],[Data]],"ddd")))</f>
        <v/>
      </c>
      <c r="D44" s="9"/>
      <c r="E44" s="9"/>
      <c r="F44" s="9"/>
      <c r="G44" s="11"/>
      <c r="H44" s="9"/>
      <c r="I44" s="22"/>
      <c r="J44" s="24"/>
      <c r="K4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4" s="22"/>
    </row>
    <row r="45" spans="1:12" x14ac:dyDescent="0.25">
      <c r="A45" s="8"/>
      <c r="B45" s="1" t="str">
        <f>IF(Tabela22[[#This Row],[Data]]="","",PROPER(TEXT(Tabela22[[#This Row],[Data]],"mmm")))</f>
        <v/>
      </c>
      <c r="C45" s="1" t="str">
        <f>IF(Tabela22[[#This Row],[Data]]="","",PROPER(TEXT(Tabela22[[#This Row],[Data]],"ddd")))</f>
        <v/>
      </c>
      <c r="D45" s="9"/>
      <c r="E45" s="9"/>
      <c r="F45" s="9"/>
      <c r="G45" s="11"/>
      <c r="H45" s="9"/>
      <c r="I45" s="22"/>
      <c r="J45" s="24"/>
      <c r="K4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5" s="22"/>
    </row>
    <row r="46" spans="1:12" x14ac:dyDescent="0.25">
      <c r="A46" s="8"/>
      <c r="B46" s="1" t="str">
        <f>IF(Tabela22[[#This Row],[Data]]="","",PROPER(TEXT(Tabela22[[#This Row],[Data]],"mmm")))</f>
        <v/>
      </c>
      <c r="C46" s="1" t="str">
        <f>IF(Tabela22[[#This Row],[Data]]="","",PROPER(TEXT(Tabela22[[#This Row],[Data]],"ddd")))</f>
        <v/>
      </c>
      <c r="D46" s="9"/>
      <c r="E46" s="9"/>
      <c r="F46" s="9"/>
      <c r="G46" s="10"/>
      <c r="H46" s="9"/>
      <c r="I46" s="22"/>
      <c r="J46" s="24"/>
      <c r="K4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6" s="22"/>
    </row>
    <row r="47" spans="1:12" x14ac:dyDescent="0.25">
      <c r="A47" s="8"/>
      <c r="B47" s="1" t="str">
        <f>IF(Tabela22[[#This Row],[Data]]="","",PROPER(TEXT(Tabela22[[#This Row],[Data]],"mmm")))</f>
        <v/>
      </c>
      <c r="C47" s="1" t="str">
        <f>IF(Tabela22[[#This Row],[Data]]="","",PROPER(TEXT(Tabela22[[#This Row],[Data]],"ddd")))</f>
        <v/>
      </c>
      <c r="D47" s="9"/>
      <c r="E47" s="9"/>
      <c r="F47" s="9"/>
      <c r="G47" s="11"/>
      <c r="H47" s="9"/>
      <c r="I47" s="22"/>
      <c r="J47" s="24"/>
      <c r="K4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7" s="22"/>
    </row>
    <row r="48" spans="1:12" x14ac:dyDescent="0.25">
      <c r="A48" s="8"/>
      <c r="B48" s="1" t="str">
        <f>IF(Tabela22[[#This Row],[Data]]="","",PROPER(TEXT(Tabela22[[#This Row],[Data]],"mmm")))</f>
        <v/>
      </c>
      <c r="C48" s="1" t="str">
        <f>IF(Tabela22[[#This Row],[Data]]="","",PROPER(TEXT(Tabela22[[#This Row],[Data]],"ddd")))</f>
        <v/>
      </c>
      <c r="D48" s="9"/>
      <c r="E48" s="9"/>
      <c r="F48" s="9"/>
      <c r="G48" s="11"/>
      <c r="H48" s="9"/>
      <c r="I48" s="22"/>
      <c r="J48" s="24"/>
      <c r="K4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8" s="22"/>
    </row>
    <row r="49" spans="1:12" x14ac:dyDescent="0.25">
      <c r="A49" s="8"/>
      <c r="B49" s="1" t="str">
        <f>IF(Tabela22[[#This Row],[Data]]="","",PROPER(TEXT(Tabela22[[#This Row],[Data]],"mmm")))</f>
        <v/>
      </c>
      <c r="C49" s="1" t="str">
        <f>IF(Tabela22[[#This Row],[Data]]="","",PROPER(TEXT(Tabela22[[#This Row],[Data]],"ddd")))</f>
        <v/>
      </c>
      <c r="D49" s="9"/>
      <c r="E49" s="9"/>
      <c r="F49" s="9"/>
      <c r="G49" s="11"/>
      <c r="H49" s="9"/>
      <c r="I49" s="22"/>
      <c r="J49" s="24"/>
      <c r="K4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9" s="22"/>
    </row>
    <row r="50" spans="1:12" x14ac:dyDescent="0.25">
      <c r="A50" s="8"/>
      <c r="B50" s="1" t="str">
        <f>IF(Tabela22[[#This Row],[Data]]="","",PROPER(TEXT(Tabela22[[#This Row],[Data]],"mmm")))</f>
        <v/>
      </c>
      <c r="C50" s="1" t="str">
        <f>IF(Tabela22[[#This Row],[Data]]="","",PROPER(TEXT(Tabela22[[#This Row],[Data]],"ddd")))</f>
        <v/>
      </c>
      <c r="D50" s="9"/>
      <c r="E50" s="9"/>
      <c r="F50" s="9"/>
      <c r="G50" s="11"/>
      <c r="H50" s="9"/>
      <c r="I50" s="22"/>
      <c r="J50" s="24"/>
      <c r="K5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0" s="22"/>
    </row>
    <row r="51" spans="1:12" x14ac:dyDescent="0.25">
      <c r="A51" s="8"/>
      <c r="B51" s="1" t="str">
        <f>IF(Tabela22[[#This Row],[Data]]="","",PROPER(TEXT(Tabela22[[#This Row],[Data]],"mmm")))</f>
        <v/>
      </c>
      <c r="C51" s="1" t="str">
        <f>IF(Tabela22[[#This Row],[Data]]="","",PROPER(TEXT(Tabela22[[#This Row],[Data]],"ddd")))</f>
        <v/>
      </c>
      <c r="D51" s="9"/>
      <c r="E51" s="9"/>
      <c r="F51" s="9"/>
      <c r="G51" s="11"/>
      <c r="H51" s="9"/>
      <c r="I51" s="22"/>
      <c r="J51" s="24"/>
      <c r="K5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1" s="22"/>
    </row>
    <row r="52" spans="1:12" x14ac:dyDescent="0.25">
      <c r="A52" s="8"/>
      <c r="B52" s="1" t="str">
        <f>IF(Tabela22[[#This Row],[Data]]="","",PROPER(TEXT(Tabela22[[#This Row],[Data]],"mmm")))</f>
        <v/>
      </c>
      <c r="C52" s="1" t="str">
        <f>IF(Tabela22[[#This Row],[Data]]="","",PROPER(TEXT(Tabela22[[#This Row],[Data]],"ddd")))</f>
        <v/>
      </c>
      <c r="D52" s="9"/>
      <c r="E52" s="9"/>
      <c r="F52" s="9"/>
      <c r="G52" s="10"/>
      <c r="H52" s="9"/>
      <c r="I52" s="22"/>
      <c r="J52" s="24"/>
      <c r="K5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2" s="22"/>
    </row>
    <row r="53" spans="1:12" x14ac:dyDescent="0.25">
      <c r="A53" s="8"/>
      <c r="B53" s="1" t="str">
        <f>IF(Tabela22[[#This Row],[Data]]="","",PROPER(TEXT(Tabela22[[#This Row],[Data]],"mmm")))</f>
        <v/>
      </c>
      <c r="C53" s="1" t="str">
        <f>IF(Tabela22[[#This Row],[Data]]="","",PROPER(TEXT(Tabela22[[#This Row],[Data]],"ddd")))</f>
        <v/>
      </c>
      <c r="D53" s="9"/>
      <c r="E53" s="9"/>
      <c r="F53" s="9"/>
      <c r="G53" s="11"/>
      <c r="H53" s="9"/>
      <c r="I53" s="22"/>
      <c r="J53" s="24"/>
      <c r="K5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3" s="22"/>
    </row>
    <row r="54" spans="1:12" x14ac:dyDescent="0.25">
      <c r="A54" s="8"/>
      <c r="B54" s="1" t="str">
        <f>IF(Tabela22[[#This Row],[Data]]="","",PROPER(TEXT(Tabela22[[#This Row],[Data]],"mmm")))</f>
        <v/>
      </c>
      <c r="C54" s="1" t="str">
        <f>IF(Tabela22[[#This Row],[Data]]="","",PROPER(TEXT(Tabela22[[#This Row],[Data]],"ddd")))</f>
        <v/>
      </c>
      <c r="D54" s="9"/>
      <c r="E54" s="9"/>
      <c r="F54" s="9"/>
      <c r="G54" s="11"/>
      <c r="H54" s="9"/>
      <c r="I54" s="22"/>
      <c r="J54" s="24"/>
      <c r="K5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4" s="22"/>
    </row>
    <row r="55" spans="1:12" x14ac:dyDescent="0.25">
      <c r="A55" s="8"/>
      <c r="B55" s="1" t="str">
        <f>IF(Tabela22[[#This Row],[Data]]="","",PROPER(TEXT(Tabela22[[#This Row],[Data]],"mmm")))</f>
        <v/>
      </c>
      <c r="C55" s="1" t="str">
        <f>IF(Tabela22[[#This Row],[Data]]="","",PROPER(TEXT(Tabela22[[#This Row],[Data]],"ddd")))</f>
        <v/>
      </c>
      <c r="D55" s="9"/>
      <c r="E55" s="9"/>
      <c r="F55" s="9"/>
      <c r="G55" s="11"/>
      <c r="H55" s="9"/>
      <c r="I55" s="22"/>
      <c r="J55" s="24"/>
      <c r="K5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5" s="22"/>
    </row>
    <row r="56" spans="1:12" x14ac:dyDescent="0.25">
      <c r="A56" s="8"/>
      <c r="B56" s="1" t="str">
        <f>IF(Tabela22[[#This Row],[Data]]="","",PROPER(TEXT(Tabela22[[#This Row],[Data]],"mmm")))</f>
        <v/>
      </c>
      <c r="C56" s="1" t="str">
        <f>IF(Tabela22[[#This Row],[Data]]="","",PROPER(TEXT(Tabela22[[#This Row],[Data]],"ddd")))</f>
        <v/>
      </c>
      <c r="D56" s="9"/>
      <c r="E56" s="9"/>
      <c r="F56" s="9"/>
      <c r="G56" s="11"/>
      <c r="H56" s="9"/>
      <c r="I56" s="22"/>
      <c r="J56" s="24"/>
      <c r="K5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6" s="22"/>
    </row>
    <row r="57" spans="1:12" x14ac:dyDescent="0.25">
      <c r="A57" s="8"/>
      <c r="B57" s="1" t="str">
        <f>IF(Tabela22[[#This Row],[Data]]="","",PROPER(TEXT(Tabela22[[#This Row],[Data]],"mmm")))</f>
        <v/>
      </c>
      <c r="C57" s="1" t="str">
        <f>IF(Tabela22[[#This Row],[Data]]="","",PROPER(TEXT(Tabela22[[#This Row],[Data]],"ddd")))</f>
        <v/>
      </c>
      <c r="D57" s="9"/>
      <c r="E57" s="9"/>
      <c r="F57" s="9"/>
      <c r="G57" s="11"/>
      <c r="H57" s="9"/>
      <c r="I57" s="22"/>
      <c r="J57" s="24"/>
      <c r="K5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7" s="22"/>
    </row>
    <row r="58" spans="1:12" x14ac:dyDescent="0.25">
      <c r="A58" s="8"/>
      <c r="B58" s="1" t="str">
        <f>IF(Tabela22[[#This Row],[Data]]="","",PROPER(TEXT(Tabela22[[#This Row],[Data]],"mmm")))</f>
        <v/>
      </c>
      <c r="C58" s="1" t="str">
        <f>IF(Tabela22[[#This Row],[Data]]="","",PROPER(TEXT(Tabela22[[#This Row],[Data]],"ddd")))</f>
        <v/>
      </c>
      <c r="D58" s="9"/>
      <c r="E58" s="9"/>
      <c r="F58" s="9"/>
      <c r="G58" s="10"/>
      <c r="H58" s="9"/>
      <c r="I58" s="22"/>
      <c r="J58" s="24"/>
      <c r="K5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8" s="22"/>
    </row>
    <row r="59" spans="1:12" x14ac:dyDescent="0.25">
      <c r="A59" s="8"/>
      <c r="B59" s="1" t="str">
        <f>IF(Tabela22[[#This Row],[Data]]="","",PROPER(TEXT(Tabela22[[#This Row],[Data]],"mmm")))</f>
        <v/>
      </c>
      <c r="C59" s="1" t="str">
        <f>IF(Tabela22[[#This Row],[Data]]="","",PROPER(TEXT(Tabela22[[#This Row],[Data]],"ddd")))</f>
        <v/>
      </c>
      <c r="D59" s="9"/>
      <c r="E59" s="9"/>
      <c r="F59" s="9"/>
      <c r="G59" s="11"/>
      <c r="H59" s="9"/>
      <c r="I59" s="22"/>
      <c r="J59" s="24"/>
      <c r="K5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9" s="22"/>
    </row>
    <row r="60" spans="1:12" x14ac:dyDescent="0.25">
      <c r="A60" s="8"/>
      <c r="B60" s="1" t="str">
        <f>IF(Tabela22[[#This Row],[Data]]="","",PROPER(TEXT(Tabela22[[#This Row],[Data]],"mmm")))</f>
        <v/>
      </c>
      <c r="C60" s="1" t="str">
        <f>IF(Tabela22[[#This Row],[Data]]="","",PROPER(TEXT(Tabela22[[#This Row],[Data]],"ddd")))</f>
        <v/>
      </c>
      <c r="D60" s="9"/>
      <c r="E60" s="9"/>
      <c r="F60" s="9"/>
      <c r="G60" s="11"/>
      <c r="H60" s="9"/>
      <c r="I60" s="22"/>
      <c r="J60" s="24"/>
      <c r="K6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60" s="22"/>
    </row>
    <row r="61" spans="1:12" x14ac:dyDescent="0.25">
      <c r="A61" s="8"/>
      <c r="B61" s="1" t="str">
        <f>IF(Tabela22[[#This Row],[Data]]="","",PROPER(TEXT(Tabela22[[#This Row],[Data]],"mmm")))</f>
        <v/>
      </c>
      <c r="C61" s="1" t="str">
        <f>IF(Tabela22[[#This Row],[Data]]="","",PROPER(TEXT(Tabela22[[#This Row],[Data]],"ddd")))</f>
        <v/>
      </c>
      <c r="D61" s="9"/>
      <c r="E61" s="9"/>
      <c r="F61" s="9"/>
      <c r="G61" s="11"/>
      <c r="H61" s="9"/>
      <c r="I61" s="22"/>
      <c r="J61" s="24"/>
      <c r="K6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61" s="22"/>
    </row>
    <row r="62" spans="1:12" x14ac:dyDescent="0.25">
      <c r="A62" s="8"/>
      <c r="B62" s="1" t="str">
        <f>IF(Tabela22[[#This Row],[Data]]="","",PROPER(TEXT(Tabela22[[#This Row],[Data]],"mmm")))</f>
        <v/>
      </c>
      <c r="C62" s="1" t="str">
        <f>IF(Tabela22[[#This Row],[Data]]="","",PROPER(TEXT(Tabela22[[#This Row],[Data]],"ddd")))</f>
        <v/>
      </c>
      <c r="D62" s="9"/>
      <c r="E62" s="9"/>
      <c r="F62" s="9"/>
      <c r="G62" s="11"/>
      <c r="H62" s="9"/>
      <c r="I62" s="22"/>
      <c r="J62" s="24"/>
      <c r="K6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62" s="22"/>
    </row>
    <row r="63" spans="1:12" x14ac:dyDescent="0.25">
      <c r="A63" s="8"/>
      <c r="B63" s="1" t="str">
        <f>IF(Tabela22[[#This Row],[Data]]="","",PROPER(TEXT(Tabela22[[#This Row],[Data]],"mmm")))</f>
        <v/>
      </c>
      <c r="C63" s="1" t="str">
        <f>IF(Tabela22[[#This Row],[Data]]="","",PROPER(TEXT(Tabela22[[#This Row],[Data]],"ddd")))</f>
        <v/>
      </c>
      <c r="D63" s="9"/>
      <c r="E63" s="9"/>
      <c r="F63" s="9"/>
      <c r="G63" s="11"/>
      <c r="H63" s="9"/>
      <c r="I63" s="22"/>
      <c r="J63" s="24"/>
      <c r="K6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63" s="22"/>
    </row>
    <row r="64" spans="1:12" x14ac:dyDescent="0.25">
      <c r="A64" s="8"/>
      <c r="B64" s="1" t="str">
        <f>IF(Tabela22[[#This Row],[Data]]="","",PROPER(TEXT(Tabela22[[#This Row],[Data]],"mmm")))</f>
        <v/>
      </c>
      <c r="C64" s="1" t="str">
        <f>IF(Tabela22[[#This Row],[Data]]="","",PROPER(TEXT(Tabela22[[#This Row],[Data]],"ddd")))</f>
        <v/>
      </c>
      <c r="D64" s="9"/>
      <c r="E64" s="9"/>
      <c r="F64" s="9"/>
      <c r="G64" s="10"/>
      <c r="H64" s="9"/>
      <c r="I64" s="22"/>
      <c r="J64" s="24"/>
      <c r="K6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64" s="22"/>
    </row>
    <row r="65" spans="1:12" x14ac:dyDescent="0.25">
      <c r="A65" s="8"/>
      <c r="B65" s="1" t="str">
        <f>IF(Tabela22[[#This Row],[Data]]="","",PROPER(TEXT(Tabela22[[#This Row],[Data]],"mmm")))</f>
        <v/>
      </c>
      <c r="C65" s="1" t="str">
        <f>IF(Tabela22[[#This Row],[Data]]="","",PROPER(TEXT(Tabela22[[#This Row],[Data]],"ddd")))</f>
        <v/>
      </c>
      <c r="D65" s="9"/>
      <c r="E65" s="9"/>
      <c r="F65" s="9"/>
      <c r="G65" s="11"/>
      <c r="H65" s="9"/>
      <c r="I65" s="22"/>
      <c r="J65" s="24"/>
      <c r="K6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65" s="22"/>
    </row>
    <row r="66" spans="1:12" x14ac:dyDescent="0.25">
      <c r="A66" s="8"/>
      <c r="B66" s="1" t="str">
        <f>IF(Tabela22[[#This Row],[Data]]="","",PROPER(TEXT(Tabela22[[#This Row],[Data]],"mmm")))</f>
        <v/>
      </c>
      <c r="C66" s="1" t="str">
        <f>IF(Tabela22[[#This Row],[Data]]="","",PROPER(TEXT(Tabela22[[#This Row],[Data]],"ddd")))</f>
        <v/>
      </c>
      <c r="D66" s="9"/>
      <c r="E66" s="9"/>
      <c r="F66" s="9"/>
      <c r="G66" s="11"/>
      <c r="H66" s="9"/>
      <c r="I66" s="22"/>
      <c r="J66" s="24"/>
      <c r="K6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66" s="22"/>
    </row>
    <row r="67" spans="1:12" x14ac:dyDescent="0.25">
      <c r="A67" s="8"/>
      <c r="B67" s="1" t="str">
        <f>IF(Tabela22[[#This Row],[Data]]="","",PROPER(TEXT(Tabela22[[#This Row],[Data]],"mmm")))</f>
        <v/>
      </c>
      <c r="C67" s="1" t="str">
        <f>IF(Tabela22[[#This Row],[Data]]="","",PROPER(TEXT(Tabela22[[#This Row],[Data]],"ddd")))</f>
        <v/>
      </c>
      <c r="D67" s="9"/>
      <c r="E67" s="9"/>
      <c r="F67" s="9"/>
      <c r="G67" s="11"/>
      <c r="H67" s="9"/>
      <c r="I67" s="22"/>
      <c r="J67" s="24"/>
      <c r="K6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67" s="22"/>
    </row>
    <row r="68" spans="1:12" x14ac:dyDescent="0.25">
      <c r="A68" s="8"/>
      <c r="B68" s="1" t="str">
        <f>IF(Tabela22[[#This Row],[Data]]="","",PROPER(TEXT(Tabela22[[#This Row],[Data]],"mmm")))</f>
        <v/>
      </c>
      <c r="C68" s="1" t="str">
        <f>IF(Tabela22[[#This Row],[Data]]="","",PROPER(TEXT(Tabela22[[#This Row],[Data]],"ddd")))</f>
        <v/>
      </c>
      <c r="D68" s="9"/>
      <c r="E68" s="9"/>
      <c r="F68" s="9"/>
      <c r="G68" s="11"/>
      <c r="H68" s="9"/>
      <c r="I68" s="22"/>
      <c r="J68" s="24"/>
      <c r="K6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68" s="22"/>
    </row>
    <row r="69" spans="1:12" x14ac:dyDescent="0.25">
      <c r="A69" s="8"/>
      <c r="B69" s="1" t="str">
        <f>IF(Tabela22[[#This Row],[Data]]="","",PROPER(TEXT(Tabela22[[#This Row],[Data]],"mmm")))</f>
        <v/>
      </c>
      <c r="C69" s="1" t="str">
        <f>IF(Tabela22[[#This Row],[Data]]="","",PROPER(TEXT(Tabela22[[#This Row],[Data]],"ddd")))</f>
        <v/>
      </c>
      <c r="D69" s="9"/>
      <c r="E69" s="9"/>
      <c r="F69" s="9"/>
      <c r="G69" s="11"/>
      <c r="H69" s="9"/>
      <c r="I69" s="22"/>
      <c r="J69" s="24"/>
      <c r="K6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69" s="22"/>
    </row>
    <row r="70" spans="1:12" x14ac:dyDescent="0.25">
      <c r="A70" s="8"/>
      <c r="B70" s="1" t="str">
        <f>IF(Tabela22[[#This Row],[Data]]="","",PROPER(TEXT(Tabela22[[#This Row],[Data]],"mmm")))</f>
        <v/>
      </c>
      <c r="C70" s="1" t="str">
        <f>IF(Tabela22[[#This Row],[Data]]="","",PROPER(TEXT(Tabela22[[#This Row],[Data]],"ddd")))</f>
        <v/>
      </c>
      <c r="D70" s="9"/>
      <c r="E70" s="9"/>
      <c r="F70" s="9"/>
      <c r="G70" s="10"/>
      <c r="H70" s="9"/>
      <c r="I70" s="22"/>
      <c r="J70" s="24"/>
      <c r="K7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70" s="22"/>
    </row>
    <row r="71" spans="1:12" x14ac:dyDescent="0.25">
      <c r="A71" s="8"/>
      <c r="B71" s="1" t="str">
        <f>IF(Tabela22[[#This Row],[Data]]="","",PROPER(TEXT(Tabela22[[#This Row],[Data]],"mmm")))</f>
        <v/>
      </c>
      <c r="C71" s="1" t="str">
        <f>IF(Tabela22[[#This Row],[Data]]="","",PROPER(TEXT(Tabela22[[#This Row],[Data]],"ddd")))</f>
        <v/>
      </c>
      <c r="D71" s="9"/>
      <c r="E71" s="9"/>
      <c r="F71" s="9"/>
      <c r="G71" s="11"/>
      <c r="H71" s="9"/>
      <c r="I71" s="22"/>
      <c r="J71" s="24"/>
      <c r="K7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71" s="22"/>
    </row>
    <row r="72" spans="1:12" x14ac:dyDescent="0.25">
      <c r="A72" s="8"/>
      <c r="B72" s="1" t="str">
        <f>IF(Tabela22[[#This Row],[Data]]="","",PROPER(TEXT(Tabela22[[#This Row],[Data]],"mmm")))</f>
        <v/>
      </c>
      <c r="C72" s="1" t="str">
        <f>IF(Tabela22[[#This Row],[Data]]="","",PROPER(TEXT(Tabela22[[#This Row],[Data]],"ddd")))</f>
        <v/>
      </c>
      <c r="D72" s="9"/>
      <c r="E72" s="9"/>
      <c r="F72" s="9"/>
      <c r="G72" s="11"/>
      <c r="H72" s="9"/>
      <c r="I72" s="22"/>
      <c r="J72" s="24"/>
      <c r="K7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72" s="22"/>
    </row>
    <row r="73" spans="1:12" x14ac:dyDescent="0.25">
      <c r="A73" s="8"/>
      <c r="B73" s="1" t="str">
        <f>IF(Tabela22[[#This Row],[Data]]="","",PROPER(TEXT(Tabela22[[#This Row],[Data]],"mmm")))</f>
        <v/>
      </c>
      <c r="C73" s="1" t="str">
        <f>IF(Tabela22[[#This Row],[Data]]="","",PROPER(TEXT(Tabela22[[#This Row],[Data]],"ddd")))</f>
        <v/>
      </c>
      <c r="D73" s="9"/>
      <c r="E73" s="9"/>
      <c r="F73" s="9"/>
      <c r="G73" s="11"/>
      <c r="H73" s="9"/>
      <c r="I73" s="22"/>
      <c r="J73" s="24"/>
      <c r="K7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73" s="22"/>
    </row>
    <row r="74" spans="1:12" x14ac:dyDescent="0.25">
      <c r="A74" s="8"/>
      <c r="B74" s="1" t="str">
        <f>IF(Tabela22[[#This Row],[Data]]="","",PROPER(TEXT(Tabela22[[#This Row],[Data]],"mmm")))</f>
        <v/>
      </c>
      <c r="C74" s="1" t="str">
        <f>IF(Tabela22[[#This Row],[Data]]="","",PROPER(TEXT(Tabela22[[#This Row],[Data]],"ddd")))</f>
        <v/>
      </c>
      <c r="D74" s="9"/>
      <c r="E74" s="9"/>
      <c r="F74" s="9"/>
      <c r="G74" s="11"/>
      <c r="H74" s="9"/>
      <c r="I74" s="22"/>
      <c r="J74" s="24"/>
      <c r="K7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74" s="22"/>
    </row>
    <row r="75" spans="1:12" x14ac:dyDescent="0.25">
      <c r="A75" s="8"/>
      <c r="B75" s="1" t="str">
        <f>IF(Tabela22[[#This Row],[Data]]="","",PROPER(TEXT(Tabela22[[#This Row],[Data]],"mmm")))</f>
        <v/>
      </c>
      <c r="C75" s="1" t="str">
        <f>IF(Tabela22[[#This Row],[Data]]="","",PROPER(TEXT(Tabela22[[#This Row],[Data]],"ddd")))</f>
        <v/>
      </c>
      <c r="D75" s="9"/>
      <c r="E75" s="9"/>
      <c r="F75" s="9"/>
      <c r="G75" s="11"/>
      <c r="H75" s="9"/>
      <c r="I75" s="22"/>
      <c r="J75" s="24"/>
      <c r="K7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75" s="22"/>
    </row>
    <row r="76" spans="1:12" x14ac:dyDescent="0.25">
      <c r="A76" s="8"/>
      <c r="B76" s="1" t="str">
        <f>IF(Tabela22[[#This Row],[Data]]="","",PROPER(TEXT(Tabela22[[#This Row],[Data]],"mmm")))</f>
        <v/>
      </c>
      <c r="C76" s="1" t="str">
        <f>IF(Tabela22[[#This Row],[Data]]="","",PROPER(TEXT(Tabela22[[#This Row],[Data]],"ddd")))</f>
        <v/>
      </c>
      <c r="D76" s="9"/>
      <c r="E76" s="9"/>
      <c r="F76" s="9"/>
      <c r="G76" s="10"/>
      <c r="H76" s="9"/>
      <c r="I76" s="22"/>
      <c r="J76" s="24"/>
      <c r="K7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76" s="22"/>
    </row>
    <row r="77" spans="1:12" x14ac:dyDescent="0.25">
      <c r="A77" s="8"/>
      <c r="B77" s="1" t="str">
        <f>IF(Tabela22[[#This Row],[Data]]="","",PROPER(TEXT(Tabela22[[#This Row],[Data]],"mmm")))</f>
        <v/>
      </c>
      <c r="C77" s="1" t="str">
        <f>IF(Tabela22[[#This Row],[Data]]="","",PROPER(TEXT(Tabela22[[#This Row],[Data]],"ddd")))</f>
        <v/>
      </c>
      <c r="D77" s="9"/>
      <c r="E77" s="9"/>
      <c r="F77" s="9"/>
      <c r="G77" s="11"/>
      <c r="H77" s="9"/>
      <c r="I77" s="22"/>
      <c r="J77" s="24"/>
      <c r="K7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77" s="22"/>
    </row>
    <row r="78" spans="1:12" x14ac:dyDescent="0.25">
      <c r="A78" s="8"/>
      <c r="B78" s="1" t="str">
        <f>IF(Tabela22[[#This Row],[Data]]="","",PROPER(TEXT(Tabela22[[#This Row],[Data]],"mmm")))</f>
        <v/>
      </c>
      <c r="C78" s="1" t="str">
        <f>IF(Tabela22[[#This Row],[Data]]="","",PROPER(TEXT(Tabela22[[#This Row],[Data]],"ddd")))</f>
        <v/>
      </c>
      <c r="D78" s="9"/>
      <c r="E78" s="9"/>
      <c r="F78" s="9"/>
      <c r="G78" s="11"/>
      <c r="H78" s="9"/>
      <c r="I78" s="22"/>
      <c r="J78" s="24"/>
      <c r="K7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78" s="22"/>
    </row>
    <row r="79" spans="1:12" x14ac:dyDescent="0.25">
      <c r="A79" s="8"/>
      <c r="B79" s="1" t="str">
        <f>IF(Tabela22[[#This Row],[Data]]="","",PROPER(TEXT(Tabela22[[#This Row],[Data]],"mmm")))</f>
        <v/>
      </c>
      <c r="C79" s="1" t="str">
        <f>IF(Tabela22[[#This Row],[Data]]="","",PROPER(TEXT(Tabela22[[#This Row],[Data]],"ddd")))</f>
        <v/>
      </c>
      <c r="D79" s="9"/>
      <c r="E79" s="9"/>
      <c r="F79" s="9"/>
      <c r="G79" s="11"/>
      <c r="H79" s="9"/>
      <c r="I79" s="22"/>
      <c r="J79" s="24"/>
      <c r="K7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79" s="22"/>
    </row>
    <row r="80" spans="1:12" x14ac:dyDescent="0.25">
      <c r="A80" s="8"/>
      <c r="B80" s="1" t="str">
        <f>IF(Tabela22[[#This Row],[Data]]="","",PROPER(TEXT(Tabela22[[#This Row],[Data]],"mmm")))</f>
        <v/>
      </c>
      <c r="C80" s="1" t="str">
        <f>IF(Tabela22[[#This Row],[Data]]="","",PROPER(TEXT(Tabela22[[#This Row],[Data]],"ddd")))</f>
        <v/>
      </c>
      <c r="D80" s="9"/>
      <c r="E80" s="9"/>
      <c r="F80" s="9"/>
      <c r="G80" s="11"/>
      <c r="H80" s="9"/>
      <c r="I80" s="22"/>
      <c r="J80" s="24"/>
      <c r="K8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80" s="22"/>
    </row>
    <row r="81" spans="1:12" x14ac:dyDescent="0.25">
      <c r="A81" s="8"/>
      <c r="B81" s="1" t="str">
        <f>IF(Tabela22[[#This Row],[Data]]="","",PROPER(TEXT(Tabela22[[#This Row],[Data]],"mmm")))</f>
        <v/>
      </c>
      <c r="C81" s="1" t="str">
        <f>IF(Tabela22[[#This Row],[Data]]="","",PROPER(TEXT(Tabela22[[#This Row],[Data]],"ddd")))</f>
        <v/>
      </c>
      <c r="D81" s="9"/>
      <c r="E81" s="9"/>
      <c r="F81" s="9"/>
      <c r="G81" s="11"/>
      <c r="H81" s="9"/>
      <c r="I81" s="22"/>
      <c r="J81" s="24"/>
      <c r="K8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81" s="22"/>
    </row>
    <row r="82" spans="1:12" x14ac:dyDescent="0.25">
      <c r="A82" s="8"/>
      <c r="B82" s="1" t="str">
        <f>IF(Tabela22[[#This Row],[Data]]="","",PROPER(TEXT(Tabela22[[#This Row],[Data]],"mmm")))</f>
        <v/>
      </c>
      <c r="C82" s="1" t="str">
        <f>IF(Tabela22[[#This Row],[Data]]="","",PROPER(TEXT(Tabela22[[#This Row],[Data]],"ddd")))</f>
        <v/>
      </c>
      <c r="D82" s="9"/>
      <c r="E82" s="9"/>
      <c r="F82" s="9"/>
      <c r="G82" s="10"/>
      <c r="H82" s="9"/>
      <c r="I82" s="22"/>
      <c r="J82" s="24"/>
      <c r="K8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82" s="22"/>
    </row>
    <row r="83" spans="1:12" x14ac:dyDescent="0.25">
      <c r="A83" s="8"/>
      <c r="B83" s="1" t="str">
        <f>IF(Tabela22[[#This Row],[Data]]="","",PROPER(TEXT(Tabela22[[#This Row],[Data]],"mmm")))</f>
        <v/>
      </c>
      <c r="C83" s="1" t="str">
        <f>IF(Tabela22[[#This Row],[Data]]="","",PROPER(TEXT(Tabela22[[#This Row],[Data]],"ddd")))</f>
        <v/>
      </c>
      <c r="D83" s="9"/>
      <c r="E83" s="9"/>
      <c r="F83" s="9"/>
      <c r="G83" s="11"/>
      <c r="H83" s="9"/>
      <c r="I83" s="22"/>
      <c r="J83" s="24"/>
      <c r="K8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83" s="22"/>
    </row>
    <row r="84" spans="1:12" x14ac:dyDescent="0.25">
      <c r="A84" s="8"/>
      <c r="B84" s="1" t="str">
        <f>IF(Tabela22[[#This Row],[Data]]="","",PROPER(TEXT(Tabela22[[#This Row],[Data]],"mmm")))</f>
        <v/>
      </c>
      <c r="C84" s="1" t="str">
        <f>IF(Tabela22[[#This Row],[Data]]="","",PROPER(TEXT(Tabela22[[#This Row],[Data]],"ddd")))</f>
        <v/>
      </c>
      <c r="D84" s="9"/>
      <c r="E84" s="9"/>
      <c r="F84" s="9"/>
      <c r="G84" s="11"/>
      <c r="H84" s="9"/>
      <c r="I84" s="22"/>
      <c r="J84" s="24"/>
      <c r="K8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84" s="22"/>
    </row>
    <row r="85" spans="1:12" x14ac:dyDescent="0.25">
      <c r="A85" s="8"/>
      <c r="B85" s="1" t="str">
        <f>IF(Tabela22[[#This Row],[Data]]="","",PROPER(TEXT(Tabela22[[#This Row],[Data]],"mmm")))</f>
        <v/>
      </c>
      <c r="C85" s="1" t="str">
        <f>IF(Tabela22[[#This Row],[Data]]="","",PROPER(TEXT(Tabela22[[#This Row],[Data]],"ddd")))</f>
        <v/>
      </c>
      <c r="D85" s="9"/>
      <c r="E85" s="9"/>
      <c r="F85" s="9"/>
      <c r="G85" s="11"/>
      <c r="H85" s="9"/>
      <c r="I85" s="22"/>
      <c r="J85" s="24"/>
      <c r="K8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85" s="22"/>
    </row>
    <row r="86" spans="1:12" x14ac:dyDescent="0.25">
      <c r="A86" s="8"/>
      <c r="B86" s="1" t="str">
        <f>IF(Tabela22[[#This Row],[Data]]="","",PROPER(TEXT(Tabela22[[#This Row],[Data]],"mmm")))</f>
        <v/>
      </c>
      <c r="C86" s="1" t="str">
        <f>IF(Tabela22[[#This Row],[Data]]="","",PROPER(TEXT(Tabela22[[#This Row],[Data]],"ddd")))</f>
        <v/>
      </c>
      <c r="D86" s="9"/>
      <c r="E86" s="9"/>
      <c r="F86" s="9"/>
      <c r="G86" s="11"/>
      <c r="H86" s="9"/>
      <c r="I86" s="22"/>
      <c r="J86" s="24"/>
      <c r="K8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86" s="22"/>
    </row>
    <row r="87" spans="1:12" x14ac:dyDescent="0.25">
      <c r="A87" s="8"/>
      <c r="B87" s="1" t="str">
        <f>IF(Tabela22[[#This Row],[Data]]="","",PROPER(TEXT(Tabela22[[#This Row],[Data]],"mmm")))</f>
        <v/>
      </c>
      <c r="C87" s="1" t="str">
        <f>IF(Tabela22[[#This Row],[Data]]="","",PROPER(TEXT(Tabela22[[#This Row],[Data]],"ddd")))</f>
        <v/>
      </c>
      <c r="D87" s="9"/>
      <c r="E87" s="9"/>
      <c r="F87" s="9"/>
      <c r="G87" s="11"/>
      <c r="H87" s="9"/>
      <c r="I87" s="22"/>
      <c r="J87" s="24"/>
      <c r="K8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87" s="22"/>
    </row>
    <row r="88" spans="1:12" x14ac:dyDescent="0.25">
      <c r="A88" s="8"/>
      <c r="B88" s="1" t="str">
        <f>IF(Tabela22[[#This Row],[Data]]="","",PROPER(TEXT(Tabela22[[#This Row],[Data]],"mmm")))</f>
        <v/>
      </c>
      <c r="C88" s="1" t="str">
        <f>IF(Tabela22[[#This Row],[Data]]="","",PROPER(TEXT(Tabela22[[#This Row],[Data]],"ddd")))</f>
        <v/>
      </c>
      <c r="D88" s="9"/>
      <c r="E88" s="9"/>
      <c r="F88" s="9"/>
      <c r="G88" s="10"/>
      <c r="H88" s="9"/>
      <c r="I88" s="22"/>
      <c r="J88" s="24"/>
      <c r="K8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88" s="22"/>
    </row>
    <row r="89" spans="1:12" x14ac:dyDescent="0.25">
      <c r="A89" s="8"/>
      <c r="B89" s="1" t="str">
        <f>IF(Tabela22[[#This Row],[Data]]="","",PROPER(TEXT(Tabela22[[#This Row],[Data]],"mmm")))</f>
        <v/>
      </c>
      <c r="C89" s="1" t="str">
        <f>IF(Tabela22[[#This Row],[Data]]="","",PROPER(TEXT(Tabela22[[#This Row],[Data]],"ddd")))</f>
        <v/>
      </c>
      <c r="D89" s="9"/>
      <c r="E89" s="9"/>
      <c r="F89" s="9"/>
      <c r="G89" s="11"/>
      <c r="H89" s="9"/>
      <c r="I89" s="22"/>
      <c r="J89" s="24"/>
      <c r="K8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89" s="22"/>
    </row>
    <row r="90" spans="1:12" x14ac:dyDescent="0.25">
      <c r="A90" s="8"/>
      <c r="B90" s="1" t="str">
        <f>IF(Tabela22[[#This Row],[Data]]="","",PROPER(TEXT(Tabela22[[#This Row],[Data]],"mmm")))</f>
        <v/>
      </c>
      <c r="C90" s="1" t="str">
        <f>IF(Tabela22[[#This Row],[Data]]="","",PROPER(TEXT(Tabela22[[#This Row],[Data]],"ddd")))</f>
        <v/>
      </c>
      <c r="D90" s="9"/>
      <c r="E90" s="9"/>
      <c r="F90" s="9"/>
      <c r="G90" s="11"/>
      <c r="H90" s="9"/>
      <c r="I90" s="22"/>
      <c r="J90" s="24"/>
      <c r="K9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90" s="22"/>
    </row>
    <row r="91" spans="1:12" x14ac:dyDescent="0.25">
      <c r="A91" s="8"/>
      <c r="B91" s="1" t="str">
        <f>IF(Tabela22[[#This Row],[Data]]="","",PROPER(TEXT(Tabela22[[#This Row],[Data]],"mmm")))</f>
        <v/>
      </c>
      <c r="C91" s="1" t="str">
        <f>IF(Tabela22[[#This Row],[Data]]="","",PROPER(TEXT(Tabela22[[#This Row],[Data]],"ddd")))</f>
        <v/>
      </c>
      <c r="D91" s="9"/>
      <c r="E91" s="9"/>
      <c r="F91" s="9"/>
      <c r="G91" s="11"/>
      <c r="H91" s="9"/>
      <c r="I91" s="22"/>
      <c r="J91" s="24"/>
      <c r="K9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91" s="22"/>
    </row>
    <row r="92" spans="1:12" x14ac:dyDescent="0.25">
      <c r="A92" s="8"/>
      <c r="B92" s="1" t="str">
        <f>IF(Tabela22[[#This Row],[Data]]="","",PROPER(TEXT(Tabela22[[#This Row],[Data]],"mmm")))</f>
        <v/>
      </c>
      <c r="C92" s="1" t="str">
        <f>IF(Tabela22[[#This Row],[Data]]="","",PROPER(TEXT(Tabela22[[#This Row],[Data]],"ddd")))</f>
        <v/>
      </c>
      <c r="D92" s="9"/>
      <c r="E92" s="9"/>
      <c r="F92" s="9"/>
      <c r="G92" s="11"/>
      <c r="H92" s="9"/>
      <c r="I92" s="22"/>
      <c r="J92" s="24"/>
      <c r="K9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92" s="22"/>
    </row>
    <row r="93" spans="1:12" x14ac:dyDescent="0.25">
      <c r="A93" s="8"/>
      <c r="B93" s="1" t="str">
        <f>IF(Tabela22[[#This Row],[Data]]="","",PROPER(TEXT(Tabela22[[#This Row],[Data]],"mmm")))</f>
        <v/>
      </c>
      <c r="C93" s="1" t="str">
        <f>IF(Tabela22[[#This Row],[Data]]="","",PROPER(TEXT(Tabela22[[#This Row],[Data]],"ddd")))</f>
        <v/>
      </c>
      <c r="D93" s="9"/>
      <c r="E93" s="9"/>
      <c r="F93" s="9"/>
      <c r="G93" s="11"/>
      <c r="H93" s="9"/>
      <c r="I93" s="22"/>
      <c r="J93" s="24"/>
      <c r="K9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93" s="22"/>
    </row>
    <row r="94" spans="1:12" x14ac:dyDescent="0.25">
      <c r="A94" s="8"/>
      <c r="B94" s="1" t="str">
        <f>IF(Tabela22[[#This Row],[Data]]="","",PROPER(TEXT(Tabela22[[#This Row],[Data]],"mmm")))</f>
        <v/>
      </c>
      <c r="C94" s="1" t="str">
        <f>IF(Tabela22[[#This Row],[Data]]="","",PROPER(TEXT(Tabela22[[#This Row],[Data]],"ddd")))</f>
        <v/>
      </c>
      <c r="D94" s="9"/>
      <c r="E94" s="9"/>
      <c r="F94" s="9"/>
      <c r="G94" s="10"/>
      <c r="H94" s="9"/>
      <c r="I94" s="22"/>
      <c r="J94" s="24"/>
      <c r="K9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94" s="22"/>
    </row>
    <row r="95" spans="1:12" x14ac:dyDescent="0.25">
      <c r="A95" s="8"/>
      <c r="B95" s="1" t="str">
        <f>IF(Tabela22[[#This Row],[Data]]="","",PROPER(TEXT(Tabela22[[#This Row],[Data]],"mmm")))</f>
        <v/>
      </c>
      <c r="C95" s="1" t="str">
        <f>IF(Tabela22[[#This Row],[Data]]="","",PROPER(TEXT(Tabela22[[#This Row],[Data]],"ddd")))</f>
        <v/>
      </c>
      <c r="D95" s="9"/>
      <c r="E95" s="9"/>
      <c r="F95" s="9"/>
      <c r="G95" s="11"/>
      <c r="H95" s="9"/>
      <c r="I95" s="22"/>
      <c r="J95" s="24"/>
      <c r="K9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95" s="22"/>
    </row>
    <row r="96" spans="1:12" x14ac:dyDescent="0.25">
      <c r="A96" s="8"/>
      <c r="B96" s="1" t="str">
        <f>IF(Tabela22[[#This Row],[Data]]="","",PROPER(TEXT(Tabela22[[#This Row],[Data]],"mmm")))</f>
        <v/>
      </c>
      <c r="C96" s="1" t="str">
        <f>IF(Tabela22[[#This Row],[Data]]="","",PROPER(TEXT(Tabela22[[#This Row],[Data]],"ddd")))</f>
        <v/>
      </c>
      <c r="D96" s="9"/>
      <c r="E96" s="9"/>
      <c r="F96" s="9"/>
      <c r="G96" s="11"/>
      <c r="H96" s="9"/>
      <c r="I96" s="22"/>
      <c r="J96" s="24"/>
      <c r="K9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96" s="22"/>
    </row>
    <row r="97" spans="1:12" x14ac:dyDescent="0.25">
      <c r="A97" s="8"/>
      <c r="B97" s="1" t="str">
        <f>IF(Tabela22[[#This Row],[Data]]="","",PROPER(TEXT(Tabela22[[#This Row],[Data]],"mmm")))</f>
        <v/>
      </c>
      <c r="C97" s="1" t="str">
        <f>IF(Tabela22[[#This Row],[Data]]="","",PROPER(TEXT(Tabela22[[#This Row],[Data]],"ddd")))</f>
        <v/>
      </c>
      <c r="D97" s="9"/>
      <c r="E97" s="9"/>
      <c r="F97" s="9"/>
      <c r="G97" s="11"/>
      <c r="H97" s="9"/>
      <c r="I97" s="22"/>
      <c r="J97" s="24"/>
      <c r="K9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97" s="22"/>
    </row>
    <row r="98" spans="1:12" x14ac:dyDescent="0.25">
      <c r="A98" s="8"/>
      <c r="B98" s="1" t="str">
        <f>IF(Tabela22[[#This Row],[Data]]="","",PROPER(TEXT(Tabela22[[#This Row],[Data]],"mmm")))</f>
        <v/>
      </c>
      <c r="C98" s="1" t="str">
        <f>IF(Tabela22[[#This Row],[Data]]="","",PROPER(TEXT(Tabela22[[#This Row],[Data]],"ddd")))</f>
        <v/>
      </c>
      <c r="D98" s="9"/>
      <c r="E98" s="9"/>
      <c r="F98" s="9"/>
      <c r="G98" s="11"/>
      <c r="H98" s="9"/>
      <c r="I98" s="22"/>
      <c r="J98" s="24"/>
      <c r="K9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98" s="22"/>
    </row>
    <row r="99" spans="1:12" x14ac:dyDescent="0.25">
      <c r="A99" s="8"/>
      <c r="B99" s="1" t="str">
        <f>IF(Tabela22[[#This Row],[Data]]="","",PROPER(TEXT(Tabela22[[#This Row],[Data]],"mmm")))</f>
        <v/>
      </c>
      <c r="C99" s="1" t="str">
        <f>IF(Tabela22[[#This Row],[Data]]="","",PROPER(TEXT(Tabela22[[#This Row],[Data]],"ddd")))</f>
        <v/>
      </c>
      <c r="D99" s="9"/>
      <c r="E99" s="9"/>
      <c r="F99" s="9"/>
      <c r="G99" s="11"/>
      <c r="H99" s="9"/>
      <c r="I99" s="22"/>
      <c r="J99" s="24"/>
      <c r="K9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99" s="22"/>
    </row>
    <row r="100" spans="1:12" x14ac:dyDescent="0.25">
      <c r="A100" s="8"/>
      <c r="B100" s="1" t="str">
        <f>IF(Tabela22[[#This Row],[Data]]="","",PROPER(TEXT(Tabela22[[#This Row],[Data]],"mmm")))</f>
        <v/>
      </c>
      <c r="C100" s="1" t="str">
        <f>IF(Tabela22[[#This Row],[Data]]="","",PROPER(TEXT(Tabela22[[#This Row],[Data]],"ddd")))</f>
        <v/>
      </c>
      <c r="D100" s="9"/>
      <c r="E100" s="9"/>
      <c r="F100" s="9"/>
      <c r="G100" s="10"/>
      <c r="H100" s="9"/>
      <c r="I100" s="22"/>
      <c r="J100" s="24"/>
      <c r="K10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00" s="22"/>
    </row>
    <row r="101" spans="1:12" x14ac:dyDescent="0.25">
      <c r="A101" s="8"/>
      <c r="B101" s="1" t="str">
        <f>IF(Tabela22[[#This Row],[Data]]="","",PROPER(TEXT(Tabela22[[#This Row],[Data]],"mmm")))</f>
        <v/>
      </c>
      <c r="C101" s="1" t="str">
        <f>IF(Tabela22[[#This Row],[Data]]="","",PROPER(TEXT(Tabela22[[#This Row],[Data]],"ddd")))</f>
        <v/>
      </c>
      <c r="D101" s="9"/>
      <c r="E101" s="9"/>
      <c r="F101" s="9"/>
      <c r="G101" s="11"/>
      <c r="H101" s="9"/>
      <c r="I101" s="22"/>
      <c r="J101" s="24"/>
      <c r="K10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01" s="22"/>
    </row>
    <row r="102" spans="1:12" x14ac:dyDescent="0.25">
      <c r="A102" s="8"/>
      <c r="B102" s="1" t="str">
        <f>IF(Tabela22[[#This Row],[Data]]="","",PROPER(TEXT(Tabela22[[#This Row],[Data]],"mmm")))</f>
        <v/>
      </c>
      <c r="C102" s="1" t="str">
        <f>IF(Tabela22[[#This Row],[Data]]="","",PROPER(TEXT(Tabela22[[#This Row],[Data]],"ddd")))</f>
        <v/>
      </c>
      <c r="D102" s="9"/>
      <c r="E102" s="9"/>
      <c r="F102" s="9"/>
      <c r="G102" s="11"/>
      <c r="H102" s="9"/>
      <c r="I102" s="22"/>
      <c r="J102" s="24"/>
      <c r="K10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02" s="22"/>
    </row>
    <row r="103" spans="1:12" x14ac:dyDescent="0.25">
      <c r="A103" s="8"/>
      <c r="B103" s="1" t="str">
        <f>IF(Tabela22[[#This Row],[Data]]="","",PROPER(TEXT(Tabela22[[#This Row],[Data]],"mmm")))</f>
        <v/>
      </c>
      <c r="C103" s="1" t="str">
        <f>IF(Tabela22[[#This Row],[Data]]="","",PROPER(TEXT(Tabela22[[#This Row],[Data]],"ddd")))</f>
        <v/>
      </c>
      <c r="D103" s="9"/>
      <c r="E103" s="9"/>
      <c r="F103" s="9"/>
      <c r="G103" s="11"/>
      <c r="H103" s="9"/>
      <c r="I103" s="22"/>
      <c r="J103" s="24"/>
      <c r="K10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03" s="22"/>
    </row>
    <row r="104" spans="1:12" x14ac:dyDescent="0.25">
      <c r="A104" s="8"/>
      <c r="B104" s="1" t="str">
        <f>IF(Tabela22[[#This Row],[Data]]="","",PROPER(TEXT(Tabela22[[#This Row],[Data]],"mmm")))</f>
        <v/>
      </c>
      <c r="C104" s="1" t="str">
        <f>IF(Tabela22[[#This Row],[Data]]="","",PROPER(TEXT(Tabela22[[#This Row],[Data]],"ddd")))</f>
        <v/>
      </c>
      <c r="D104" s="9"/>
      <c r="E104" s="9"/>
      <c r="F104" s="9"/>
      <c r="G104" s="11"/>
      <c r="H104" s="9"/>
      <c r="I104" s="22"/>
      <c r="J104" s="24"/>
      <c r="K10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04" s="22"/>
    </row>
    <row r="105" spans="1:12" x14ac:dyDescent="0.25">
      <c r="A105" s="8"/>
      <c r="B105" s="1" t="str">
        <f>IF(Tabela22[[#This Row],[Data]]="","",PROPER(TEXT(Tabela22[[#This Row],[Data]],"mmm")))</f>
        <v/>
      </c>
      <c r="C105" s="1" t="str">
        <f>IF(Tabela22[[#This Row],[Data]]="","",PROPER(TEXT(Tabela22[[#This Row],[Data]],"ddd")))</f>
        <v/>
      </c>
      <c r="D105" s="9"/>
      <c r="E105" s="9"/>
      <c r="F105" s="9"/>
      <c r="G105" s="11"/>
      <c r="H105" s="9"/>
      <c r="I105" s="22"/>
      <c r="J105" s="24"/>
      <c r="K10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05" s="22"/>
    </row>
    <row r="106" spans="1:12" x14ac:dyDescent="0.25">
      <c r="A106" s="8"/>
      <c r="B106" s="1" t="str">
        <f>IF(Tabela22[[#This Row],[Data]]="","",PROPER(TEXT(Tabela22[[#This Row],[Data]],"mmm")))</f>
        <v/>
      </c>
      <c r="C106" s="1" t="str">
        <f>IF(Tabela22[[#This Row],[Data]]="","",PROPER(TEXT(Tabela22[[#This Row],[Data]],"ddd")))</f>
        <v/>
      </c>
      <c r="D106" s="9"/>
      <c r="E106" s="9"/>
      <c r="F106" s="9"/>
      <c r="G106" s="10"/>
      <c r="H106" s="9"/>
      <c r="I106" s="22"/>
      <c r="J106" s="24"/>
      <c r="K10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06" s="22"/>
    </row>
    <row r="107" spans="1:12" x14ac:dyDescent="0.25">
      <c r="A107" s="8"/>
      <c r="B107" s="1" t="str">
        <f>IF(Tabela22[[#This Row],[Data]]="","",PROPER(TEXT(Tabela22[[#This Row],[Data]],"mmm")))</f>
        <v/>
      </c>
      <c r="C107" s="1" t="str">
        <f>IF(Tabela22[[#This Row],[Data]]="","",PROPER(TEXT(Tabela22[[#This Row],[Data]],"ddd")))</f>
        <v/>
      </c>
      <c r="D107" s="9"/>
      <c r="E107" s="9"/>
      <c r="F107" s="9"/>
      <c r="G107" s="11"/>
      <c r="H107" s="9"/>
      <c r="I107" s="22"/>
      <c r="J107" s="24"/>
      <c r="K10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07" s="22"/>
    </row>
    <row r="108" spans="1:12" x14ac:dyDescent="0.25">
      <c r="A108" s="8"/>
      <c r="B108" s="1" t="str">
        <f>IF(Tabela22[[#This Row],[Data]]="","",PROPER(TEXT(Tabela22[[#This Row],[Data]],"mmm")))</f>
        <v/>
      </c>
      <c r="C108" s="1" t="str">
        <f>IF(Tabela22[[#This Row],[Data]]="","",PROPER(TEXT(Tabela22[[#This Row],[Data]],"ddd")))</f>
        <v/>
      </c>
      <c r="D108" s="9"/>
      <c r="E108" s="9"/>
      <c r="F108" s="9"/>
      <c r="G108" s="11"/>
      <c r="H108" s="9"/>
      <c r="I108" s="22"/>
      <c r="J108" s="24"/>
      <c r="K10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08" s="22"/>
    </row>
    <row r="109" spans="1:12" x14ac:dyDescent="0.25">
      <c r="A109" s="8"/>
      <c r="B109" s="1" t="str">
        <f>IF(Tabela22[[#This Row],[Data]]="","",PROPER(TEXT(Tabela22[[#This Row],[Data]],"mmm")))</f>
        <v/>
      </c>
      <c r="C109" s="1" t="str">
        <f>IF(Tabela22[[#This Row],[Data]]="","",PROPER(TEXT(Tabela22[[#This Row],[Data]],"ddd")))</f>
        <v/>
      </c>
      <c r="D109" s="9"/>
      <c r="E109" s="9"/>
      <c r="F109" s="9"/>
      <c r="G109" s="11"/>
      <c r="H109" s="9"/>
      <c r="I109" s="22"/>
      <c r="J109" s="24"/>
      <c r="K10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09" s="22"/>
    </row>
    <row r="110" spans="1:12" x14ac:dyDescent="0.25">
      <c r="A110" s="8"/>
      <c r="B110" s="1" t="str">
        <f>IF(Tabela22[[#This Row],[Data]]="","",PROPER(TEXT(Tabela22[[#This Row],[Data]],"mmm")))</f>
        <v/>
      </c>
      <c r="C110" s="1" t="str">
        <f>IF(Tabela22[[#This Row],[Data]]="","",PROPER(TEXT(Tabela22[[#This Row],[Data]],"ddd")))</f>
        <v/>
      </c>
      <c r="D110" s="9"/>
      <c r="E110" s="9"/>
      <c r="F110" s="9"/>
      <c r="G110" s="11"/>
      <c r="H110" s="9"/>
      <c r="I110" s="22"/>
      <c r="J110" s="24"/>
      <c r="K11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10" s="22"/>
    </row>
    <row r="111" spans="1:12" x14ac:dyDescent="0.25">
      <c r="A111" s="8"/>
      <c r="B111" s="1" t="str">
        <f>IF(Tabela22[[#This Row],[Data]]="","",PROPER(TEXT(Tabela22[[#This Row],[Data]],"mmm")))</f>
        <v/>
      </c>
      <c r="C111" s="1" t="str">
        <f>IF(Tabela22[[#This Row],[Data]]="","",PROPER(TEXT(Tabela22[[#This Row],[Data]],"ddd")))</f>
        <v/>
      </c>
      <c r="D111" s="9"/>
      <c r="E111" s="9"/>
      <c r="F111" s="9"/>
      <c r="G111" s="11"/>
      <c r="H111" s="9"/>
      <c r="I111" s="22"/>
      <c r="J111" s="24"/>
      <c r="K11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11" s="22"/>
    </row>
    <row r="112" spans="1:12" x14ac:dyDescent="0.25">
      <c r="A112" s="8"/>
      <c r="B112" s="1" t="str">
        <f>IF(Tabela22[[#This Row],[Data]]="","",PROPER(TEXT(Tabela22[[#This Row],[Data]],"mmm")))</f>
        <v/>
      </c>
      <c r="C112" s="1" t="str">
        <f>IF(Tabela22[[#This Row],[Data]]="","",PROPER(TEXT(Tabela22[[#This Row],[Data]],"ddd")))</f>
        <v/>
      </c>
      <c r="D112" s="9"/>
      <c r="E112" s="9"/>
      <c r="F112" s="9"/>
      <c r="G112" s="10"/>
      <c r="H112" s="9"/>
      <c r="I112" s="22"/>
      <c r="J112" s="24"/>
      <c r="K11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12" s="22"/>
    </row>
    <row r="113" spans="1:12" x14ac:dyDescent="0.25">
      <c r="A113" s="8"/>
      <c r="B113" s="1" t="str">
        <f>IF(Tabela22[[#This Row],[Data]]="","",PROPER(TEXT(Tabela22[[#This Row],[Data]],"mmm")))</f>
        <v/>
      </c>
      <c r="C113" s="1" t="str">
        <f>IF(Tabela22[[#This Row],[Data]]="","",PROPER(TEXT(Tabela22[[#This Row],[Data]],"ddd")))</f>
        <v/>
      </c>
      <c r="D113" s="9"/>
      <c r="E113" s="9"/>
      <c r="F113" s="9"/>
      <c r="G113" s="11"/>
      <c r="H113" s="9"/>
      <c r="I113" s="22"/>
      <c r="J113" s="24"/>
      <c r="K11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13" s="22"/>
    </row>
    <row r="114" spans="1:12" x14ac:dyDescent="0.25">
      <c r="A114" s="8"/>
      <c r="B114" s="1" t="str">
        <f>IF(Tabela22[[#This Row],[Data]]="","",PROPER(TEXT(Tabela22[[#This Row],[Data]],"mmm")))</f>
        <v/>
      </c>
      <c r="C114" s="1" t="str">
        <f>IF(Tabela22[[#This Row],[Data]]="","",PROPER(TEXT(Tabela22[[#This Row],[Data]],"ddd")))</f>
        <v/>
      </c>
      <c r="D114" s="9"/>
      <c r="E114" s="9"/>
      <c r="F114" s="9"/>
      <c r="G114" s="11"/>
      <c r="H114" s="9"/>
      <c r="I114" s="22"/>
      <c r="J114" s="24"/>
      <c r="K11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14" s="22"/>
    </row>
    <row r="115" spans="1:12" x14ac:dyDescent="0.25">
      <c r="A115" s="8"/>
      <c r="B115" s="1" t="str">
        <f>IF(Tabela22[[#This Row],[Data]]="","",PROPER(TEXT(Tabela22[[#This Row],[Data]],"mmm")))</f>
        <v/>
      </c>
      <c r="C115" s="1" t="str">
        <f>IF(Tabela22[[#This Row],[Data]]="","",PROPER(TEXT(Tabela22[[#This Row],[Data]],"ddd")))</f>
        <v/>
      </c>
      <c r="D115" s="9"/>
      <c r="E115" s="9"/>
      <c r="F115" s="9"/>
      <c r="G115" s="11"/>
      <c r="H115" s="9"/>
      <c r="I115" s="22"/>
      <c r="J115" s="24"/>
      <c r="K11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15" s="22"/>
    </row>
    <row r="116" spans="1:12" x14ac:dyDescent="0.25">
      <c r="A116" s="8"/>
      <c r="B116" s="1" t="str">
        <f>IF(Tabela22[[#This Row],[Data]]="","",PROPER(TEXT(Tabela22[[#This Row],[Data]],"mmm")))</f>
        <v/>
      </c>
      <c r="C116" s="1" t="str">
        <f>IF(Tabela22[[#This Row],[Data]]="","",PROPER(TEXT(Tabela22[[#This Row],[Data]],"ddd")))</f>
        <v/>
      </c>
      <c r="D116" s="9"/>
      <c r="E116" s="9"/>
      <c r="F116" s="9"/>
      <c r="G116" s="11"/>
      <c r="H116" s="9"/>
      <c r="I116" s="22"/>
      <c r="J116" s="24"/>
      <c r="K11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16" s="22"/>
    </row>
    <row r="117" spans="1:12" x14ac:dyDescent="0.25">
      <c r="A117" s="8"/>
      <c r="B117" s="1" t="str">
        <f>IF(Tabela22[[#This Row],[Data]]="","",PROPER(TEXT(Tabela22[[#This Row],[Data]],"mmm")))</f>
        <v/>
      </c>
      <c r="C117" s="1" t="str">
        <f>IF(Tabela22[[#This Row],[Data]]="","",PROPER(TEXT(Tabela22[[#This Row],[Data]],"ddd")))</f>
        <v/>
      </c>
      <c r="D117" s="9"/>
      <c r="E117" s="9"/>
      <c r="F117" s="9"/>
      <c r="G117" s="11"/>
      <c r="H117" s="9"/>
      <c r="I117" s="22"/>
      <c r="J117" s="24"/>
      <c r="K11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17" s="22"/>
    </row>
    <row r="118" spans="1:12" x14ac:dyDescent="0.25">
      <c r="A118" s="8"/>
      <c r="B118" s="1" t="str">
        <f>IF(Tabela22[[#This Row],[Data]]="","",PROPER(TEXT(Tabela22[[#This Row],[Data]],"mmm")))</f>
        <v/>
      </c>
      <c r="C118" s="1" t="str">
        <f>IF(Tabela22[[#This Row],[Data]]="","",PROPER(TEXT(Tabela22[[#This Row],[Data]],"ddd")))</f>
        <v/>
      </c>
      <c r="D118" s="9"/>
      <c r="E118" s="9"/>
      <c r="F118" s="9"/>
      <c r="G118" s="10"/>
      <c r="H118" s="9"/>
      <c r="I118" s="22"/>
      <c r="J118" s="24"/>
      <c r="K11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18" s="22"/>
    </row>
    <row r="119" spans="1:12" x14ac:dyDescent="0.25">
      <c r="A119" s="8"/>
      <c r="B119" s="1" t="str">
        <f>IF(Tabela22[[#This Row],[Data]]="","",PROPER(TEXT(Tabela22[[#This Row],[Data]],"mmm")))</f>
        <v/>
      </c>
      <c r="C119" s="1" t="str">
        <f>IF(Tabela22[[#This Row],[Data]]="","",PROPER(TEXT(Tabela22[[#This Row],[Data]],"ddd")))</f>
        <v/>
      </c>
      <c r="D119" s="9"/>
      <c r="E119" s="9"/>
      <c r="F119" s="9"/>
      <c r="G119" s="11"/>
      <c r="H119" s="9"/>
      <c r="I119" s="22"/>
      <c r="J119" s="24"/>
      <c r="K11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19" s="22"/>
    </row>
    <row r="120" spans="1:12" x14ac:dyDescent="0.25">
      <c r="A120" s="8"/>
      <c r="B120" s="1" t="str">
        <f>IF(Tabela22[[#This Row],[Data]]="","",PROPER(TEXT(Tabela22[[#This Row],[Data]],"mmm")))</f>
        <v/>
      </c>
      <c r="C120" s="1" t="str">
        <f>IF(Tabela22[[#This Row],[Data]]="","",PROPER(TEXT(Tabela22[[#This Row],[Data]],"ddd")))</f>
        <v/>
      </c>
      <c r="D120" s="9"/>
      <c r="E120" s="9"/>
      <c r="F120" s="9"/>
      <c r="G120" s="11"/>
      <c r="H120" s="9"/>
      <c r="I120" s="22"/>
      <c r="J120" s="24"/>
      <c r="K12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20" s="22"/>
    </row>
    <row r="121" spans="1:12" x14ac:dyDescent="0.25">
      <c r="A121" s="8"/>
      <c r="B121" s="1" t="str">
        <f>IF(Tabela22[[#This Row],[Data]]="","",PROPER(TEXT(Tabela22[[#This Row],[Data]],"mmm")))</f>
        <v/>
      </c>
      <c r="C121" s="1" t="str">
        <f>IF(Tabela22[[#This Row],[Data]]="","",PROPER(TEXT(Tabela22[[#This Row],[Data]],"ddd")))</f>
        <v/>
      </c>
      <c r="D121" s="9"/>
      <c r="E121" s="9"/>
      <c r="F121" s="9"/>
      <c r="G121" s="11"/>
      <c r="H121" s="9"/>
      <c r="I121" s="22"/>
      <c r="J121" s="24"/>
      <c r="K12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21" s="22"/>
    </row>
    <row r="122" spans="1:12" x14ac:dyDescent="0.25">
      <c r="A122" s="8"/>
      <c r="B122" s="1" t="str">
        <f>IF(Tabela22[[#This Row],[Data]]="","",PROPER(TEXT(Tabela22[[#This Row],[Data]],"mmm")))</f>
        <v/>
      </c>
      <c r="C122" s="1" t="str">
        <f>IF(Tabela22[[#This Row],[Data]]="","",PROPER(TEXT(Tabela22[[#This Row],[Data]],"ddd")))</f>
        <v/>
      </c>
      <c r="D122" s="9"/>
      <c r="E122" s="9"/>
      <c r="F122" s="9"/>
      <c r="G122" s="11"/>
      <c r="H122" s="9"/>
      <c r="I122" s="22"/>
      <c r="J122" s="24"/>
      <c r="K12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22" s="22"/>
    </row>
    <row r="123" spans="1:12" x14ac:dyDescent="0.25">
      <c r="A123" s="8"/>
      <c r="B123" s="1" t="str">
        <f>IF(Tabela22[[#This Row],[Data]]="","",PROPER(TEXT(Tabela22[[#This Row],[Data]],"mmm")))</f>
        <v/>
      </c>
      <c r="C123" s="1" t="str">
        <f>IF(Tabela22[[#This Row],[Data]]="","",PROPER(TEXT(Tabela22[[#This Row],[Data]],"ddd")))</f>
        <v/>
      </c>
      <c r="D123" s="9"/>
      <c r="E123" s="9"/>
      <c r="F123" s="9"/>
      <c r="G123" s="11"/>
      <c r="H123" s="9"/>
      <c r="I123" s="22"/>
      <c r="J123" s="24"/>
      <c r="K12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23" s="22"/>
    </row>
    <row r="124" spans="1:12" x14ac:dyDescent="0.25">
      <c r="A124" s="8"/>
      <c r="B124" s="1" t="str">
        <f>IF(Tabela22[[#This Row],[Data]]="","",PROPER(TEXT(Tabela22[[#This Row],[Data]],"mmm")))</f>
        <v/>
      </c>
      <c r="C124" s="1" t="str">
        <f>IF(Tabela22[[#This Row],[Data]]="","",PROPER(TEXT(Tabela22[[#This Row],[Data]],"ddd")))</f>
        <v/>
      </c>
      <c r="D124" s="9"/>
      <c r="E124" s="9"/>
      <c r="F124" s="9"/>
      <c r="G124" s="10"/>
      <c r="H124" s="9"/>
      <c r="I124" s="22"/>
      <c r="J124" s="24"/>
      <c r="K12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24" s="22"/>
    </row>
    <row r="125" spans="1:12" x14ac:dyDescent="0.25">
      <c r="A125" s="8"/>
      <c r="B125" s="1" t="str">
        <f>IF(Tabela22[[#This Row],[Data]]="","",PROPER(TEXT(Tabela22[[#This Row],[Data]],"mmm")))</f>
        <v/>
      </c>
      <c r="C125" s="1" t="str">
        <f>IF(Tabela22[[#This Row],[Data]]="","",PROPER(TEXT(Tabela22[[#This Row],[Data]],"ddd")))</f>
        <v/>
      </c>
      <c r="D125" s="9"/>
      <c r="E125" s="9"/>
      <c r="F125" s="9"/>
      <c r="G125" s="11"/>
      <c r="H125" s="9"/>
      <c r="I125" s="22"/>
      <c r="J125" s="24"/>
      <c r="K12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25" s="22"/>
    </row>
    <row r="126" spans="1:12" x14ac:dyDescent="0.25">
      <c r="A126" s="8"/>
      <c r="B126" s="1" t="str">
        <f>IF(Tabela22[[#This Row],[Data]]="","",PROPER(TEXT(Tabela22[[#This Row],[Data]],"mmm")))</f>
        <v/>
      </c>
      <c r="C126" s="1" t="str">
        <f>IF(Tabela22[[#This Row],[Data]]="","",PROPER(TEXT(Tabela22[[#This Row],[Data]],"ddd")))</f>
        <v/>
      </c>
      <c r="D126" s="9"/>
      <c r="E126" s="9"/>
      <c r="F126" s="9"/>
      <c r="G126" s="11"/>
      <c r="H126" s="9"/>
      <c r="I126" s="22"/>
      <c r="J126" s="24"/>
      <c r="K12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26" s="22"/>
    </row>
    <row r="127" spans="1:12" x14ac:dyDescent="0.25">
      <c r="A127" s="8"/>
      <c r="B127" s="1" t="str">
        <f>IF(Tabela22[[#This Row],[Data]]="","",PROPER(TEXT(Tabela22[[#This Row],[Data]],"mmm")))</f>
        <v/>
      </c>
      <c r="C127" s="1" t="str">
        <f>IF(Tabela22[[#This Row],[Data]]="","",PROPER(TEXT(Tabela22[[#This Row],[Data]],"ddd")))</f>
        <v/>
      </c>
      <c r="D127" s="9"/>
      <c r="E127" s="9"/>
      <c r="F127" s="9"/>
      <c r="G127" s="11"/>
      <c r="H127" s="9"/>
      <c r="I127" s="22"/>
      <c r="J127" s="24"/>
      <c r="K12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27" s="22"/>
    </row>
    <row r="128" spans="1:12" x14ac:dyDescent="0.25">
      <c r="A128" s="8"/>
      <c r="B128" s="1" t="str">
        <f>IF(Tabela22[[#This Row],[Data]]="","",PROPER(TEXT(Tabela22[[#This Row],[Data]],"mmm")))</f>
        <v/>
      </c>
      <c r="C128" s="1" t="str">
        <f>IF(Tabela22[[#This Row],[Data]]="","",PROPER(TEXT(Tabela22[[#This Row],[Data]],"ddd")))</f>
        <v/>
      </c>
      <c r="D128" s="9"/>
      <c r="E128" s="9"/>
      <c r="F128" s="9"/>
      <c r="G128" s="11"/>
      <c r="H128" s="9"/>
      <c r="I128" s="22"/>
      <c r="J128" s="24"/>
      <c r="K12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28" s="22"/>
    </row>
    <row r="129" spans="1:12" x14ac:dyDescent="0.25">
      <c r="A129" s="8"/>
      <c r="B129" s="1" t="str">
        <f>IF(Tabela22[[#This Row],[Data]]="","",PROPER(TEXT(Tabela22[[#This Row],[Data]],"mmm")))</f>
        <v/>
      </c>
      <c r="C129" s="1" t="str">
        <f>IF(Tabela22[[#This Row],[Data]]="","",PROPER(TEXT(Tabela22[[#This Row],[Data]],"ddd")))</f>
        <v/>
      </c>
      <c r="D129" s="9"/>
      <c r="E129" s="9"/>
      <c r="F129" s="9"/>
      <c r="G129" s="11"/>
      <c r="H129" s="9"/>
      <c r="I129" s="22"/>
      <c r="J129" s="24"/>
      <c r="K12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29" s="22"/>
    </row>
    <row r="130" spans="1:12" x14ac:dyDescent="0.25">
      <c r="A130" s="8"/>
      <c r="B130" s="1" t="str">
        <f>IF(Tabela22[[#This Row],[Data]]="","",PROPER(TEXT(Tabela22[[#This Row],[Data]],"mmm")))</f>
        <v/>
      </c>
      <c r="C130" s="1" t="str">
        <f>IF(Tabela22[[#This Row],[Data]]="","",PROPER(TEXT(Tabela22[[#This Row],[Data]],"ddd")))</f>
        <v/>
      </c>
      <c r="D130" s="9"/>
      <c r="E130" s="9"/>
      <c r="F130" s="9"/>
      <c r="G130" s="10"/>
      <c r="H130" s="9"/>
      <c r="I130" s="22"/>
      <c r="J130" s="24"/>
      <c r="K13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30" s="22"/>
    </row>
    <row r="131" spans="1:12" x14ac:dyDescent="0.25">
      <c r="A131" s="8"/>
      <c r="B131" s="1" t="str">
        <f>IF(Tabela22[[#This Row],[Data]]="","",PROPER(TEXT(Tabela22[[#This Row],[Data]],"mmm")))</f>
        <v/>
      </c>
      <c r="C131" s="1" t="str">
        <f>IF(Tabela22[[#This Row],[Data]]="","",PROPER(TEXT(Tabela22[[#This Row],[Data]],"ddd")))</f>
        <v/>
      </c>
      <c r="D131" s="9"/>
      <c r="E131" s="9"/>
      <c r="F131" s="9"/>
      <c r="G131" s="11"/>
      <c r="H131" s="9"/>
      <c r="I131" s="22"/>
      <c r="J131" s="24"/>
      <c r="K13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31" s="22"/>
    </row>
    <row r="132" spans="1:12" x14ac:dyDescent="0.25">
      <c r="A132" s="8"/>
      <c r="B132" s="1" t="str">
        <f>IF(Tabela22[[#This Row],[Data]]="","",PROPER(TEXT(Tabela22[[#This Row],[Data]],"mmm")))</f>
        <v/>
      </c>
      <c r="C132" s="1" t="str">
        <f>IF(Tabela22[[#This Row],[Data]]="","",PROPER(TEXT(Tabela22[[#This Row],[Data]],"ddd")))</f>
        <v/>
      </c>
      <c r="D132" s="9"/>
      <c r="E132" s="9"/>
      <c r="F132" s="9"/>
      <c r="G132" s="11"/>
      <c r="H132" s="9"/>
      <c r="I132" s="22"/>
      <c r="J132" s="24"/>
      <c r="K13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32" s="22"/>
    </row>
    <row r="133" spans="1:12" x14ac:dyDescent="0.25">
      <c r="A133" s="8"/>
      <c r="B133" s="1" t="str">
        <f>IF(Tabela22[[#This Row],[Data]]="","",PROPER(TEXT(Tabela22[[#This Row],[Data]],"mmm")))</f>
        <v/>
      </c>
      <c r="C133" s="1" t="str">
        <f>IF(Tabela22[[#This Row],[Data]]="","",PROPER(TEXT(Tabela22[[#This Row],[Data]],"ddd")))</f>
        <v/>
      </c>
      <c r="D133" s="9"/>
      <c r="E133" s="9"/>
      <c r="F133" s="9"/>
      <c r="G133" s="11"/>
      <c r="H133" s="9"/>
      <c r="I133" s="22"/>
      <c r="J133" s="24"/>
      <c r="K13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33" s="22"/>
    </row>
    <row r="134" spans="1:12" x14ac:dyDescent="0.25">
      <c r="A134" s="8"/>
      <c r="B134" s="1" t="str">
        <f>IF(Tabela22[[#This Row],[Data]]="","",PROPER(TEXT(Tabela22[[#This Row],[Data]],"mmm")))</f>
        <v/>
      </c>
      <c r="C134" s="1" t="str">
        <f>IF(Tabela22[[#This Row],[Data]]="","",PROPER(TEXT(Tabela22[[#This Row],[Data]],"ddd")))</f>
        <v/>
      </c>
      <c r="D134" s="9"/>
      <c r="E134" s="9"/>
      <c r="F134" s="9"/>
      <c r="G134" s="11"/>
      <c r="H134" s="9"/>
      <c r="I134" s="22"/>
      <c r="J134" s="24"/>
      <c r="K13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34" s="22"/>
    </row>
    <row r="135" spans="1:12" x14ac:dyDescent="0.25">
      <c r="A135" s="8"/>
      <c r="B135" s="1" t="str">
        <f>IF(Tabela22[[#This Row],[Data]]="","",PROPER(TEXT(Tabela22[[#This Row],[Data]],"mmm")))</f>
        <v/>
      </c>
      <c r="C135" s="1" t="str">
        <f>IF(Tabela22[[#This Row],[Data]]="","",PROPER(TEXT(Tabela22[[#This Row],[Data]],"ddd")))</f>
        <v/>
      </c>
      <c r="D135" s="9"/>
      <c r="E135" s="9"/>
      <c r="F135" s="9"/>
      <c r="G135" s="11"/>
      <c r="H135" s="9"/>
      <c r="I135" s="22"/>
      <c r="J135" s="24"/>
      <c r="K13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35" s="22"/>
    </row>
    <row r="136" spans="1:12" x14ac:dyDescent="0.25">
      <c r="A136" s="8"/>
      <c r="B136" s="1" t="str">
        <f>IF(Tabela22[[#This Row],[Data]]="","",PROPER(TEXT(Tabela22[[#This Row],[Data]],"mmm")))</f>
        <v/>
      </c>
      <c r="C136" s="1" t="str">
        <f>IF(Tabela22[[#This Row],[Data]]="","",PROPER(TEXT(Tabela22[[#This Row],[Data]],"ddd")))</f>
        <v/>
      </c>
      <c r="D136" s="9"/>
      <c r="E136" s="9"/>
      <c r="F136" s="9"/>
      <c r="G136" s="10"/>
      <c r="H136" s="9"/>
      <c r="I136" s="22"/>
      <c r="J136" s="24"/>
      <c r="K13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36" s="22"/>
    </row>
    <row r="137" spans="1:12" x14ac:dyDescent="0.25">
      <c r="A137" s="8"/>
      <c r="B137" s="1" t="str">
        <f>IF(Tabela22[[#This Row],[Data]]="","",PROPER(TEXT(Tabela22[[#This Row],[Data]],"mmm")))</f>
        <v/>
      </c>
      <c r="C137" s="1" t="str">
        <f>IF(Tabela22[[#This Row],[Data]]="","",PROPER(TEXT(Tabela22[[#This Row],[Data]],"ddd")))</f>
        <v/>
      </c>
      <c r="D137" s="9"/>
      <c r="E137" s="9"/>
      <c r="F137" s="9"/>
      <c r="G137" s="11"/>
      <c r="H137" s="9"/>
      <c r="I137" s="22"/>
      <c r="J137" s="24"/>
      <c r="K13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37" s="22"/>
    </row>
    <row r="138" spans="1:12" x14ac:dyDescent="0.25">
      <c r="A138" s="8"/>
      <c r="B138" s="1" t="str">
        <f>IF(Tabela22[[#This Row],[Data]]="","",PROPER(TEXT(Tabela22[[#This Row],[Data]],"mmm")))</f>
        <v/>
      </c>
      <c r="C138" s="1" t="str">
        <f>IF(Tabela22[[#This Row],[Data]]="","",PROPER(TEXT(Tabela22[[#This Row],[Data]],"ddd")))</f>
        <v/>
      </c>
      <c r="D138" s="9"/>
      <c r="E138" s="9"/>
      <c r="F138" s="9"/>
      <c r="G138" s="11"/>
      <c r="H138" s="9"/>
      <c r="I138" s="22"/>
      <c r="J138" s="24"/>
      <c r="K13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38" s="22"/>
    </row>
    <row r="139" spans="1:12" x14ac:dyDescent="0.25">
      <c r="A139" s="8"/>
      <c r="B139" s="1" t="str">
        <f>IF(Tabela22[[#This Row],[Data]]="","",PROPER(TEXT(Tabela22[[#This Row],[Data]],"mmm")))</f>
        <v/>
      </c>
      <c r="C139" s="1" t="str">
        <f>IF(Tabela22[[#This Row],[Data]]="","",PROPER(TEXT(Tabela22[[#This Row],[Data]],"ddd")))</f>
        <v/>
      </c>
      <c r="D139" s="9"/>
      <c r="E139" s="9"/>
      <c r="F139" s="9"/>
      <c r="G139" s="11"/>
      <c r="H139" s="9"/>
      <c r="I139" s="22"/>
      <c r="J139" s="24"/>
      <c r="K13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39" s="22"/>
    </row>
    <row r="140" spans="1:12" x14ac:dyDescent="0.25">
      <c r="A140" s="8"/>
      <c r="B140" s="1" t="str">
        <f>IF(Tabela22[[#This Row],[Data]]="","",PROPER(TEXT(Tabela22[[#This Row],[Data]],"mmm")))</f>
        <v/>
      </c>
      <c r="C140" s="1" t="str">
        <f>IF(Tabela22[[#This Row],[Data]]="","",PROPER(TEXT(Tabela22[[#This Row],[Data]],"ddd")))</f>
        <v/>
      </c>
      <c r="D140" s="9"/>
      <c r="E140" s="9"/>
      <c r="F140" s="9"/>
      <c r="G140" s="11"/>
      <c r="H140" s="9"/>
      <c r="I140" s="22"/>
      <c r="J140" s="24"/>
      <c r="K14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40" s="22"/>
    </row>
    <row r="141" spans="1:12" x14ac:dyDescent="0.25">
      <c r="A141" s="8"/>
      <c r="B141" s="1" t="str">
        <f>IF(Tabela22[[#This Row],[Data]]="","",PROPER(TEXT(Tabela22[[#This Row],[Data]],"mmm")))</f>
        <v/>
      </c>
      <c r="C141" s="1" t="str">
        <f>IF(Tabela22[[#This Row],[Data]]="","",PROPER(TEXT(Tabela22[[#This Row],[Data]],"ddd")))</f>
        <v/>
      </c>
      <c r="D141" s="9"/>
      <c r="E141" s="9"/>
      <c r="F141" s="9"/>
      <c r="G141" s="11"/>
      <c r="H141" s="9"/>
      <c r="I141" s="22"/>
      <c r="J141" s="24"/>
      <c r="K14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41" s="22"/>
    </row>
    <row r="142" spans="1:12" x14ac:dyDescent="0.25">
      <c r="A142" s="8"/>
      <c r="B142" s="1" t="str">
        <f>IF(Tabela22[[#This Row],[Data]]="","",PROPER(TEXT(Tabela22[[#This Row],[Data]],"mmm")))</f>
        <v/>
      </c>
      <c r="C142" s="1" t="str">
        <f>IF(Tabela22[[#This Row],[Data]]="","",PROPER(TEXT(Tabela22[[#This Row],[Data]],"ddd")))</f>
        <v/>
      </c>
      <c r="D142" s="9"/>
      <c r="E142" s="9"/>
      <c r="F142" s="9"/>
      <c r="G142" s="10"/>
      <c r="H142" s="9"/>
      <c r="I142" s="22"/>
      <c r="J142" s="24"/>
      <c r="K14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42" s="22"/>
    </row>
    <row r="143" spans="1:12" x14ac:dyDescent="0.25">
      <c r="A143" s="8"/>
      <c r="B143" s="1" t="str">
        <f>IF(Tabela22[[#This Row],[Data]]="","",PROPER(TEXT(Tabela22[[#This Row],[Data]],"mmm")))</f>
        <v/>
      </c>
      <c r="C143" s="1" t="str">
        <f>IF(Tabela22[[#This Row],[Data]]="","",PROPER(TEXT(Tabela22[[#This Row],[Data]],"ddd")))</f>
        <v/>
      </c>
      <c r="D143" s="9"/>
      <c r="E143" s="9"/>
      <c r="F143" s="9"/>
      <c r="G143" s="11"/>
      <c r="H143" s="9"/>
      <c r="I143" s="22"/>
      <c r="J143" s="24"/>
      <c r="K14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43" s="22"/>
    </row>
    <row r="144" spans="1:12" x14ac:dyDescent="0.25">
      <c r="A144" s="8"/>
      <c r="B144" s="1" t="str">
        <f>IF(Tabela22[[#This Row],[Data]]="","",PROPER(TEXT(Tabela22[[#This Row],[Data]],"mmm")))</f>
        <v/>
      </c>
      <c r="C144" s="1" t="str">
        <f>IF(Tabela22[[#This Row],[Data]]="","",PROPER(TEXT(Tabela22[[#This Row],[Data]],"ddd")))</f>
        <v/>
      </c>
      <c r="D144" s="9"/>
      <c r="E144" s="9"/>
      <c r="F144" s="9"/>
      <c r="G144" s="11"/>
      <c r="H144" s="9"/>
      <c r="I144" s="22"/>
      <c r="J144" s="24"/>
      <c r="K14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44" s="22"/>
    </row>
    <row r="145" spans="1:12" x14ac:dyDescent="0.25">
      <c r="A145" s="8"/>
      <c r="B145" s="1" t="str">
        <f>IF(Tabela22[[#This Row],[Data]]="","",PROPER(TEXT(Tabela22[[#This Row],[Data]],"mmm")))</f>
        <v/>
      </c>
      <c r="C145" s="1" t="str">
        <f>IF(Tabela22[[#This Row],[Data]]="","",PROPER(TEXT(Tabela22[[#This Row],[Data]],"ddd")))</f>
        <v/>
      </c>
      <c r="D145" s="9"/>
      <c r="E145" s="9"/>
      <c r="F145" s="9"/>
      <c r="G145" s="11"/>
      <c r="H145" s="9"/>
      <c r="I145" s="22"/>
      <c r="J145" s="24"/>
      <c r="K14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45" s="22"/>
    </row>
    <row r="146" spans="1:12" x14ac:dyDescent="0.25">
      <c r="A146" s="8"/>
      <c r="B146" s="1" t="str">
        <f>IF(Tabela22[[#This Row],[Data]]="","",PROPER(TEXT(Tabela22[[#This Row],[Data]],"mmm")))</f>
        <v/>
      </c>
      <c r="C146" s="1" t="str">
        <f>IF(Tabela22[[#This Row],[Data]]="","",PROPER(TEXT(Tabela22[[#This Row],[Data]],"ddd")))</f>
        <v/>
      </c>
      <c r="D146" s="9"/>
      <c r="E146" s="9"/>
      <c r="F146" s="9"/>
      <c r="G146" s="11"/>
      <c r="H146" s="9"/>
      <c r="I146" s="22"/>
      <c r="J146" s="24"/>
      <c r="K14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46" s="22"/>
    </row>
    <row r="147" spans="1:12" x14ac:dyDescent="0.25">
      <c r="A147" s="8"/>
      <c r="B147" s="1" t="str">
        <f>IF(Tabela22[[#This Row],[Data]]="","",PROPER(TEXT(Tabela22[[#This Row],[Data]],"mmm")))</f>
        <v/>
      </c>
      <c r="C147" s="1" t="str">
        <f>IF(Tabela22[[#This Row],[Data]]="","",PROPER(TEXT(Tabela22[[#This Row],[Data]],"ddd")))</f>
        <v/>
      </c>
      <c r="D147" s="9"/>
      <c r="E147" s="9"/>
      <c r="F147" s="9"/>
      <c r="G147" s="11"/>
      <c r="H147" s="9"/>
      <c r="I147" s="22"/>
      <c r="J147" s="24"/>
      <c r="K14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47" s="22"/>
    </row>
    <row r="148" spans="1:12" x14ac:dyDescent="0.25">
      <c r="A148" s="8"/>
      <c r="B148" s="1" t="str">
        <f>IF(Tabela22[[#This Row],[Data]]="","",PROPER(TEXT(Tabela22[[#This Row],[Data]],"mmm")))</f>
        <v/>
      </c>
      <c r="C148" s="1" t="str">
        <f>IF(Tabela22[[#This Row],[Data]]="","",PROPER(TEXT(Tabela22[[#This Row],[Data]],"ddd")))</f>
        <v/>
      </c>
      <c r="D148" s="9"/>
      <c r="E148" s="9"/>
      <c r="F148" s="9"/>
      <c r="G148" s="10"/>
      <c r="H148" s="9"/>
      <c r="I148" s="22"/>
      <c r="J148" s="24"/>
      <c r="K14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48" s="22"/>
    </row>
    <row r="149" spans="1:12" x14ac:dyDescent="0.25">
      <c r="A149" s="8"/>
      <c r="B149" s="1" t="str">
        <f>IF(Tabela22[[#This Row],[Data]]="","",PROPER(TEXT(Tabela22[[#This Row],[Data]],"mmm")))</f>
        <v/>
      </c>
      <c r="C149" s="1" t="str">
        <f>IF(Tabela22[[#This Row],[Data]]="","",PROPER(TEXT(Tabela22[[#This Row],[Data]],"ddd")))</f>
        <v/>
      </c>
      <c r="D149" s="9"/>
      <c r="E149" s="9"/>
      <c r="F149" s="9"/>
      <c r="G149" s="11"/>
      <c r="H149" s="9"/>
      <c r="I149" s="22"/>
      <c r="J149" s="24"/>
      <c r="K14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49" s="22"/>
    </row>
    <row r="150" spans="1:12" x14ac:dyDescent="0.25">
      <c r="A150" s="8"/>
      <c r="B150" s="1" t="str">
        <f>IF(Tabela22[[#This Row],[Data]]="","",PROPER(TEXT(Tabela22[[#This Row],[Data]],"mmm")))</f>
        <v/>
      </c>
      <c r="C150" s="1" t="str">
        <f>IF(Tabela22[[#This Row],[Data]]="","",PROPER(TEXT(Tabela22[[#This Row],[Data]],"ddd")))</f>
        <v/>
      </c>
      <c r="D150" s="9"/>
      <c r="E150" s="9"/>
      <c r="F150" s="9"/>
      <c r="G150" s="11"/>
      <c r="H150" s="9"/>
      <c r="I150" s="22"/>
      <c r="J150" s="24"/>
      <c r="K15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50" s="22"/>
    </row>
    <row r="151" spans="1:12" x14ac:dyDescent="0.25">
      <c r="A151" s="8"/>
      <c r="B151" s="1" t="str">
        <f>IF(Tabela22[[#This Row],[Data]]="","",PROPER(TEXT(Tabela22[[#This Row],[Data]],"mmm")))</f>
        <v/>
      </c>
      <c r="C151" s="1" t="str">
        <f>IF(Tabela22[[#This Row],[Data]]="","",PROPER(TEXT(Tabela22[[#This Row],[Data]],"ddd")))</f>
        <v/>
      </c>
      <c r="D151" s="9"/>
      <c r="E151" s="9"/>
      <c r="F151" s="9"/>
      <c r="G151" s="11"/>
      <c r="H151" s="9"/>
      <c r="I151" s="22"/>
      <c r="J151" s="24"/>
      <c r="K15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51" s="22"/>
    </row>
    <row r="152" spans="1:12" x14ac:dyDescent="0.25">
      <c r="A152" s="8"/>
      <c r="B152" s="1" t="str">
        <f>IF(Tabela22[[#This Row],[Data]]="","",PROPER(TEXT(Tabela22[[#This Row],[Data]],"mmm")))</f>
        <v/>
      </c>
      <c r="C152" s="1" t="str">
        <f>IF(Tabela22[[#This Row],[Data]]="","",PROPER(TEXT(Tabela22[[#This Row],[Data]],"ddd")))</f>
        <v/>
      </c>
      <c r="D152" s="9"/>
      <c r="E152" s="9"/>
      <c r="F152" s="9"/>
      <c r="G152" s="11"/>
      <c r="H152" s="9"/>
      <c r="I152" s="22"/>
      <c r="J152" s="24"/>
      <c r="K15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52" s="22"/>
    </row>
    <row r="153" spans="1:12" x14ac:dyDescent="0.25">
      <c r="A153" s="8"/>
      <c r="B153" s="1" t="str">
        <f>IF(Tabela22[[#This Row],[Data]]="","",PROPER(TEXT(Tabela22[[#This Row],[Data]],"mmm")))</f>
        <v/>
      </c>
      <c r="C153" s="1" t="str">
        <f>IF(Tabela22[[#This Row],[Data]]="","",PROPER(TEXT(Tabela22[[#This Row],[Data]],"ddd")))</f>
        <v/>
      </c>
      <c r="D153" s="9"/>
      <c r="E153" s="9"/>
      <c r="F153" s="9"/>
      <c r="G153" s="11"/>
      <c r="H153" s="9"/>
      <c r="I153" s="22"/>
      <c r="J153" s="24"/>
      <c r="K15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53" s="22"/>
    </row>
    <row r="154" spans="1:12" x14ac:dyDescent="0.25">
      <c r="A154" s="8"/>
      <c r="B154" s="1" t="str">
        <f>IF(Tabela22[[#This Row],[Data]]="","",PROPER(TEXT(Tabela22[[#This Row],[Data]],"mmm")))</f>
        <v/>
      </c>
      <c r="C154" s="1" t="str">
        <f>IF(Tabela22[[#This Row],[Data]]="","",PROPER(TEXT(Tabela22[[#This Row],[Data]],"ddd")))</f>
        <v/>
      </c>
      <c r="D154" s="9"/>
      <c r="E154" s="9"/>
      <c r="F154" s="9"/>
      <c r="G154" s="10"/>
      <c r="H154" s="9"/>
      <c r="I154" s="22"/>
      <c r="J154" s="24"/>
      <c r="K15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54" s="22"/>
    </row>
    <row r="155" spans="1:12" x14ac:dyDescent="0.25">
      <c r="A155" s="8"/>
      <c r="B155" s="1" t="str">
        <f>IF(Tabela22[[#This Row],[Data]]="","",PROPER(TEXT(Tabela22[[#This Row],[Data]],"mmm")))</f>
        <v/>
      </c>
      <c r="C155" s="1" t="str">
        <f>IF(Tabela22[[#This Row],[Data]]="","",PROPER(TEXT(Tabela22[[#This Row],[Data]],"ddd")))</f>
        <v/>
      </c>
      <c r="D155" s="9"/>
      <c r="E155" s="9"/>
      <c r="F155" s="9"/>
      <c r="G155" s="11"/>
      <c r="H155" s="9"/>
      <c r="I155" s="22"/>
      <c r="J155" s="24"/>
      <c r="K15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55" s="22"/>
    </row>
    <row r="156" spans="1:12" x14ac:dyDescent="0.25">
      <c r="A156" s="8"/>
      <c r="B156" s="1" t="str">
        <f>IF(Tabela22[[#This Row],[Data]]="","",PROPER(TEXT(Tabela22[[#This Row],[Data]],"mmm")))</f>
        <v/>
      </c>
      <c r="C156" s="1" t="str">
        <f>IF(Tabela22[[#This Row],[Data]]="","",PROPER(TEXT(Tabela22[[#This Row],[Data]],"ddd")))</f>
        <v/>
      </c>
      <c r="D156" s="9"/>
      <c r="E156" s="9"/>
      <c r="F156" s="9"/>
      <c r="G156" s="11"/>
      <c r="H156" s="9"/>
      <c r="I156" s="22"/>
      <c r="J156" s="24"/>
      <c r="K15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56" s="22"/>
    </row>
    <row r="157" spans="1:12" x14ac:dyDescent="0.25">
      <c r="A157" s="8"/>
      <c r="B157" s="1" t="str">
        <f>IF(Tabela22[[#This Row],[Data]]="","",PROPER(TEXT(Tabela22[[#This Row],[Data]],"mmm")))</f>
        <v/>
      </c>
      <c r="C157" s="1" t="str">
        <f>IF(Tabela22[[#This Row],[Data]]="","",PROPER(TEXT(Tabela22[[#This Row],[Data]],"ddd")))</f>
        <v/>
      </c>
      <c r="D157" s="9"/>
      <c r="E157" s="9"/>
      <c r="F157" s="9"/>
      <c r="G157" s="11"/>
      <c r="H157" s="9"/>
      <c r="I157" s="22"/>
      <c r="J157" s="24"/>
      <c r="K15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57" s="22"/>
    </row>
    <row r="158" spans="1:12" x14ac:dyDescent="0.25">
      <c r="A158" s="8"/>
      <c r="B158" s="1" t="str">
        <f>IF(Tabela22[[#This Row],[Data]]="","",PROPER(TEXT(Tabela22[[#This Row],[Data]],"mmm")))</f>
        <v/>
      </c>
      <c r="C158" s="1" t="str">
        <f>IF(Tabela22[[#This Row],[Data]]="","",PROPER(TEXT(Tabela22[[#This Row],[Data]],"ddd")))</f>
        <v/>
      </c>
      <c r="D158" s="9"/>
      <c r="E158" s="9"/>
      <c r="F158" s="9"/>
      <c r="G158" s="11"/>
      <c r="H158" s="9"/>
      <c r="I158" s="22"/>
      <c r="J158" s="24"/>
      <c r="K15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58" s="22"/>
    </row>
    <row r="159" spans="1:12" x14ac:dyDescent="0.25">
      <c r="A159" s="8"/>
      <c r="B159" s="1" t="str">
        <f>IF(Tabela22[[#This Row],[Data]]="","",PROPER(TEXT(Tabela22[[#This Row],[Data]],"mmm")))</f>
        <v/>
      </c>
      <c r="C159" s="1" t="str">
        <f>IF(Tabela22[[#This Row],[Data]]="","",PROPER(TEXT(Tabela22[[#This Row],[Data]],"ddd")))</f>
        <v/>
      </c>
      <c r="D159" s="9"/>
      <c r="E159" s="9"/>
      <c r="F159" s="9"/>
      <c r="G159" s="11"/>
      <c r="H159" s="9"/>
      <c r="I159" s="22"/>
      <c r="J159" s="24"/>
      <c r="K15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59" s="22"/>
    </row>
    <row r="160" spans="1:12" x14ac:dyDescent="0.25">
      <c r="A160" s="8"/>
      <c r="B160" s="1" t="str">
        <f>IF(Tabela22[[#This Row],[Data]]="","",PROPER(TEXT(Tabela22[[#This Row],[Data]],"mmm")))</f>
        <v/>
      </c>
      <c r="C160" s="1" t="str">
        <f>IF(Tabela22[[#This Row],[Data]]="","",PROPER(TEXT(Tabela22[[#This Row],[Data]],"ddd")))</f>
        <v/>
      </c>
      <c r="D160" s="9"/>
      <c r="E160" s="9"/>
      <c r="F160" s="9"/>
      <c r="G160" s="10"/>
      <c r="H160" s="9"/>
      <c r="I160" s="22"/>
      <c r="J160" s="24"/>
      <c r="K16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60" s="22"/>
    </row>
    <row r="161" spans="1:12" x14ac:dyDescent="0.25">
      <c r="A161" s="8"/>
      <c r="B161" s="1" t="str">
        <f>IF(Tabela22[[#This Row],[Data]]="","",PROPER(TEXT(Tabela22[[#This Row],[Data]],"mmm")))</f>
        <v/>
      </c>
      <c r="C161" s="1" t="str">
        <f>IF(Tabela22[[#This Row],[Data]]="","",PROPER(TEXT(Tabela22[[#This Row],[Data]],"ddd")))</f>
        <v/>
      </c>
      <c r="D161" s="9"/>
      <c r="E161" s="9"/>
      <c r="F161" s="9"/>
      <c r="G161" s="11"/>
      <c r="H161" s="9"/>
      <c r="I161" s="22"/>
      <c r="J161" s="24"/>
      <c r="K16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61" s="22"/>
    </row>
    <row r="162" spans="1:12" x14ac:dyDescent="0.25">
      <c r="A162" s="8"/>
      <c r="B162" s="1" t="str">
        <f>IF(Tabela22[[#This Row],[Data]]="","",PROPER(TEXT(Tabela22[[#This Row],[Data]],"mmm")))</f>
        <v/>
      </c>
      <c r="C162" s="1" t="str">
        <f>IF(Tabela22[[#This Row],[Data]]="","",PROPER(TEXT(Tabela22[[#This Row],[Data]],"ddd")))</f>
        <v/>
      </c>
      <c r="D162" s="9"/>
      <c r="E162" s="9"/>
      <c r="F162" s="9"/>
      <c r="G162" s="11"/>
      <c r="H162" s="9"/>
      <c r="I162" s="22"/>
      <c r="J162" s="24"/>
      <c r="K16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62" s="22"/>
    </row>
    <row r="163" spans="1:12" x14ac:dyDescent="0.25">
      <c r="A163" s="8"/>
      <c r="B163" s="1" t="str">
        <f>IF(Tabela22[[#This Row],[Data]]="","",PROPER(TEXT(Tabela22[[#This Row],[Data]],"mmm")))</f>
        <v/>
      </c>
      <c r="C163" s="1" t="str">
        <f>IF(Tabela22[[#This Row],[Data]]="","",PROPER(TEXT(Tabela22[[#This Row],[Data]],"ddd")))</f>
        <v/>
      </c>
      <c r="D163" s="9"/>
      <c r="E163" s="9"/>
      <c r="F163" s="9"/>
      <c r="G163" s="11"/>
      <c r="H163" s="9"/>
      <c r="I163" s="22"/>
      <c r="J163" s="24"/>
      <c r="K16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63" s="22"/>
    </row>
    <row r="164" spans="1:12" x14ac:dyDescent="0.25">
      <c r="A164" s="8"/>
      <c r="B164" s="1" t="str">
        <f>IF(Tabela22[[#This Row],[Data]]="","",PROPER(TEXT(Tabela22[[#This Row],[Data]],"mmm")))</f>
        <v/>
      </c>
      <c r="C164" s="1" t="str">
        <f>IF(Tabela22[[#This Row],[Data]]="","",PROPER(TEXT(Tabela22[[#This Row],[Data]],"ddd")))</f>
        <v/>
      </c>
      <c r="D164" s="9"/>
      <c r="E164" s="9"/>
      <c r="F164" s="9"/>
      <c r="G164" s="11"/>
      <c r="H164" s="9"/>
      <c r="I164" s="22"/>
      <c r="J164" s="24"/>
      <c r="K16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64" s="22"/>
    </row>
    <row r="165" spans="1:12" x14ac:dyDescent="0.25">
      <c r="A165" s="8"/>
      <c r="B165" s="1" t="str">
        <f>IF(Tabela22[[#This Row],[Data]]="","",PROPER(TEXT(Tabela22[[#This Row],[Data]],"mmm")))</f>
        <v/>
      </c>
      <c r="C165" s="1" t="str">
        <f>IF(Tabela22[[#This Row],[Data]]="","",PROPER(TEXT(Tabela22[[#This Row],[Data]],"ddd")))</f>
        <v/>
      </c>
      <c r="D165" s="9"/>
      <c r="E165" s="9"/>
      <c r="F165" s="9"/>
      <c r="G165" s="11"/>
      <c r="H165" s="9"/>
      <c r="I165" s="22"/>
      <c r="J165" s="24"/>
      <c r="K16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65" s="22"/>
    </row>
    <row r="166" spans="1:12" x14ac:dyDescent="0.25">
      <c r="A166" s="8"/>
      <c r="B166" s="1" t="str">
        <f>IF(Tabela22[[#This Row],[Data]]="","",PROPER(TEXT(Tabela22[[#This Row],[Data]],"mmm")))</f>
        <v/>
      </c>
      <c r="C166" s="1" t="str">
        <f>IF(Tabela22[[#This Row],[Data]]="","",PROPER(TEXT(Tabela22[[#This Row],[Data]],"ddd")))</f>
        <v/>
      </c>
      <c r="D166" s="9"/>
      <c r="E166" s="9"/>
      <c r="F166" s="9"/>
      <c r="G166" s="10"/>
      <c r="H166" s="9"/>
      <c r="I166" s="22"/>
      <c r="J166" s="24"/>
      <c r="K16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66" s="22"/>
    </row>
    <row r="167" spans="1:12" x14ac:dyDescent="0.25">
      <c r="A167" s="8"/>
      <c r="B167" s="1" t="str">
        <f>IF(Tabela22[[#This Row],[Data]]="","",PROPER(TEXT(Tabela22[[#This Row],[Data]],"mmm")))</f>
        <v/>
      </c>
      <c r="C167" s="1" t="str">
        <f>IF(Tabela22[[#This Row],[Data]]="","",PROPER(TEXT(Tabela22[[#This Row],[Data]],"ddd")))</f>
        <v/>
      </c>
      <c r="D167" s="9"/>
      <c r="E167" s="9"/>
      <c r="F167" s="9"/>
      <c r="G167" s="11"/>
      <c r="H167" s="9"/>
      <c r="I167" s="22"/>
      <c r="J167" s="24"/>
      <c r="K16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67" s="22"/>
    </row>
    <row r="168" spans="1:12" x14ac:dyDescent="0.25">
      <c r="A168" s="8"/>
      <c r="B168" s="1" t="str">
        <f>IF(Tabela22[[#This Row],[Data]]="","",PROPER(TEXT(Tabela22[[#This Row],[Data]],"mmm")))</f>
        <v/>
      </c>
      <c r="C168" s="1" t="str">
        <f>IF(Tabela22[[#This Row],[Data]]="","",PROPER(TEXT(Tabela22[[#This Row],[Data]],"ddd")))</f>
        <v/>
      </c>
      <c r="D168" s="9"/>
      <c r="E168" s="9"/>
      <c r="F168" s="9"/>
      <c r="G168" s="11"/>
      <c r="H168" s="9"/>
      <c r="I168" s="22"/>
      <c r="J168" s="24"/>
      <c r="K16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68" s="22"/>
    </row>
    <row r="169" spans="1:12" x14ac:dyDescent="0.25">
      <c r="A169" s="8"/>
      <c r="B169" s="1" t="str">
        <f>IF(Tabela22[[#This Row],[Data]]="","",PROPER(TEXT(Tabela22[[#This Row],[Data]],"mmm")))</f>
        <v/>
      </c>
      <c r="C169" s="1" t="str">
        <f>IF(Tabela22[[#This Row],[Data]]="","",PROPER(TEXT(Tabela22[[#This Row],[Data]],"ddd")))</f>
        <v/>
      </c>
      <c r="D169" s="9"/>
      <c r="E169" s="9"/>
      <c r="F169" s="9"/>
      <c r="G169" s="11"/>
      <c r="H169" s="9"/>
      <c r="I169" s="22"/>
      <c r="J169" s="24"/>
      <c r="K16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69" s="22"/>
    </row>
    <row r="170" spans="1:12" x14ac:dyDescent="0.25">
      <c r="A170" s="8"/>
      <c r="B170" s="1" t="str">
        <f>IF(Tabela22[[#This Row],[Data]]="","",PROPER(TEXT(Tabela22[[#This Row],[Data]],"mmm")))</f>
        <v/>
      </c>
      <c r="C170" s="1" t="str">
        <f>IF(Tabela22[[#This Row],[Data]]="","",PROPER(TEXT(Tabela22[[#This Row],[Data]],"ddd")))</f>
        <v/>
      </c>
      <c r="D170" s="9"/>
      <c r="E170" s="9"/>
      <c r="F170" s="9"/>
      <c r="G170" s="11"/>
      <c r="H170" s="9"/>
      <c r="I170" s="22"/>
      <c r="J170" s="24"/>
      <c r="K17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70" s="22"/>
    </row>
    <row r="171" spans="1:12" x14ac:dyDescent="0.25">
      <c r="A171" s="8"/>
      <c r="B171" s="1" t="str">
        <f>IF(Tabela22[[#This Row],[Data]]="","",PROPER(TEXT(Tabela22[[#This Row],[Data]],"mmm")))</f>
        <v/>
      </c>
      <c r="C171" s="1" t="str">
        <f>IF(Tabela22[[#This Row],[Data]]="","",PROPER(TEXT(Tabela22[[#This Row],[Data]],"ddd")))</f>
        <v/>
      </c>
      <c r="D171" s="9"/>
      <c r="E171" s="9"/>
      <c r="F171" s="9"/>
      <c r="G171" s="11"/>
      <c r="H171" s="9"/>
      <c r="I171" s="22"/>
      <c r="J171" s="24"/>
      <c r="K17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71" s="22"/>
    </row>
    <row r="172" spans="1:12" x14ac:dyDescent="0.25">
      <c r="A172" s="8"/>
      <c r="B172" s="1" t="str">
        <f>IF(Tabela22[[#This Row],[Data]]="","",PROPER(TEXT(Tabela22[[#This Row],[Data]],"mmm")))</f>
        <v/>
      </c>
      <c r="C172" s="1" t="str">
        <f>IF(Tabela22[[#This Row],[Data]]="","",PROPER(TEXT(Tabela22[[#This Row],[Data]],"ddd")))</f>
        <v/>
      </c>
      <c r="D172" s="9"/>
      <c r="E172" s="9"/>
      <c r="F172" s="9"/>
      <c r="G172" s="10"/>
      <c r="H172" s="9"/>
      <c r="I172" s="22"/>
      <c r="J172" s="24"/>
      <c r="K17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72" s="22"/>
    </row>
    <row r="173" spans="1:12" x14ac:dyDescent="0.25">
      <c r="A173" s="8"/>
      <c r="B173" s="1" t="str">
        <f>IF(Tabela22[[#This Row],[Data]]="","",PROPER(TEXT(Tabela22[[#This Row],[Data]],"mmm")))</f>
        <v/>
      </c>
      <c r="C173" s="1" t="str">
        <f>IF(Tabela22[[#This Row],[Data]]="","",PROPER(TEXT(Tabela22[[#This Row],[Data]],"ddd")))</f>
        <v/>
      </c>
      <c r="D173" s="9"/>
      <c r="E173" s="9"/>
      <c r="F173" s="9"/>
      <c r="G173" s="11"/>
      <c r="H173" s="9"/>
      <c r="I173" s="22"/>
      <c r="J173" s="24"/>
      <c r="K17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73" s="22"/>
    </row>
    <row r="174" spans="1:12" x14ac:dyDescent="0.25">
      <c r="A174" s="8"/>
      <c r="B174" s="1" t="str">
        <f>IF(Tabela22[[#This Row],[Data]]="","",PROPER(TEXT(Tabela22[[#This Row],[Data]],"mmm")))</f>
        <v/>
      </c>
      <c r="C174" s="1" t="str">
        <f>IF(Tabela22[[#This Row],[Data]]="","",PROPER(TEXT(Tabela22[[#This Row],[Data]],"ddd")))</f>
        <v/>
      </c>
      <c r="D174" s="9"/>
      <c r="E174" s="9"/>
      <c r="F174" s="9"/>
      <c r="G174" s="11"/>
      <c r="H174" s="9"/>
      <c r="I174" s="22"/>
      <c r="J174" s="24"/>
      <c r="K17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74" s="22"/>
    </row>
    <row r="175" spans="1:12" x14ac:dyDescent="0.25">
      <c r="A175" s="8"/>
      <c r="B175" s="1" t="str">
        <f>IF(Tabela22[[#This Row],[Data]]="","",PROPER(TEXT(Tabela22[[#This Row],[Data]],"mmm")))</f>
        <v/>
      </c>
      <c r="C175" s="1" t="str">
        <f>IF(Tabela22[[#This Row],[Data]]="","",PROPER(TEXT(Tabela22[[#This Row],[Data]],"ddd")))</f>
        <v/>
      </c>
      <c r="D175" s="9"/>
      <c r="E175" s="9"/>
      <c r="F175" s="9"/>
      <c r="G175" s="11"/>
      <c r="H175" s="9"/>
      <c r="I175" s="22"/>
      <c r="J175" s="24"/>
      <c r="K17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75" s="22"/>
    </row>
    <row r="176" spans="1:12" x14ac:dyDescent="0.25">
      <c r="A176" s="8"/>
      <c r="B176" s="1" t="str">
        <f>IF(Tabela22[[#This Row],[Data]]="","",PROPER(TEXT(Tabela22[[#This Row],[Data]],"mmm")))</f>
        <v/>
      </c>
      <c r="C176" s="1" t="str">
        <f>IF(Tabela22[[#This Row],[Data]]="","",PROPER(TEXT(Tabela22[[#This Row],[Data]],"ddd")))</f>
        <v/>
      </c>
      <c r="D176" s="9"/>
      <c r="E176" s="9"/>
      <c r="F176" s="9"/>
      <c r="G176" s="11"/>
      <c r="H176" s="9"/>
      <c r="I176" s="22"/>
      <c r="J176" s="24"/>
      <c r="K17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76" s="22"/>
    </row>
    <row r="177" spans="1:12" x14ac:dyDescent="0.25">
      <c r="A177" s="8"/>
      <c r="B177" s="1" t="str">
        <f>IF(Tabela22[[#This Row],[Data]]="","",PROPER(TEXT(Tabela22[[#This Row],[Data]],"mmm")))</f>
        <v/>
      </c>
      <c r="C177" s="1" t="str">
        <f>IF(Tabela22[[#This Row],[Data]]="","",PROPER(TEXT(Tabela22[[#This Row],[Data]],"ddd")))</f>
        <v/>
      </c>
      <c r="D177" s="9"/>
      <c r="E177" s="9"/>
      <c r="F177" s="9"/>
      <c r="G177" s="11"/>
      <c r="H177" s="9"/>
      <c r="I177" s="22"/>
      <c r="J177" s="24"/>
      <c r="K17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77" s="22"/>
    </row>
    <row r="178" spans="1:12" x14ac:dyDescent="0.25">
      <c r="A178" s="8"/>
      <c r="B178" s="1" t="str">
        <f>IF(Tabela22[[#This Row],[Data]]="","",PROPER(TEXT(Tabela22[[#This Row],[Data]],"mmm")))</f>
        <v/>
      </c>
      <c r="C178" s="1" t="str">
        <f>IF(Tabela22[[#This Row],[Data]]="","",PROPER(TEXT(Tabela22[[#This Row],[Data]],"ddd")))</f>
        <v/>
      </c>
      <c r="D178" s="9"/>
      <c r="E178" s="9"/>
      <c r="F178" s="9"/>
      <c r="G178" s="10"/>
      <c r="H178" s="9"/>
      <c r="I178" s="22"/>
      <c r="J178" s="24"/>
      <c r="K17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78" s="22"/>
    </row>
    <row r="179" spans="1:12" x14ac:dyDescent="0.25">
      <c r="A179" s="8"/>
      <c r="B179" s="1" t="str">
        <f>IF(Tabela22[[#This Row],[Data]]="","",PROPER(TEXT(Tabela22[[#This Row],[Data]],"mmm")))</f>
        <v/>
      </c>
      <c r="C179" s="1" t="str">
        <f>IF(Tabela22[[#This Row],[Data]]="","",PROPER(TEXT(Tabela22[[#This Row],[Data]],"ddd")))</f>
        <v/>
      </c>
      <c r="D179" s="9"/>
      <c r="E179" s="9"/>
      <c r="F179" s="9"/>
      <c r="G179" s="11"/>
      <c r="H179" s="9"/>
      <c r="I179" s="22"/>
      <c r="J179" s="24"/>
      <c r="K17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79" s="22"/>
    </row>
    <row r="180" spans="1:12" x14ac:dyDescent="0.25">
      <c r="A180" s="8"/>
      <c r="B180" s="1" t="str">
        <f>IF(Tabela22[[#This Row],[Data]]="","",PROPER(TEXT(Tabela22[[#This Row],[Data]],"mmm")))</f>
        <v/>
      </c>
      <c r="C180" s="1" t="str">
        <f>IF(Tabela22[[#This Row],[Data]]="","",PROPER(TEXT(Tabela22[[#This Row],[Data]],"ddd")))</f>
        <v/>
      </c>
      <c r="D180" s="9"/>
      <c r="E180" s="9"/>
      <c r="F180" s="9"/>
      <c r="G180" s="11"/>
      <c r="H180" s="9"/>
      <c r="I180" s="22"/>
      <c r="J180" s="24"/>
      <c r="K18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80" s="22"/>
    </row>
    <row r="181" spans="1:12" x14ac:dyDescent="0.25">
      <c r="A181" s="8"/>
      <c r="B181" s="1" t="str">
        <f>IF(Tabela22[[#This Row],[Data]]="","",PROPER(TEXT(Tabela22[[#This Row],[Data]],"mmm")))</f>
        <v/>
      </c>
      <c r="C181" s="1" t="str">
        <f>IF(Tabela22[[#This Row],[Data]]="","",PROPER(TEXT(Tabela22[[#This Row],[Data]],"ddd")))</f>
        <v/>
      </c>
      <c r="D181" s="9"/>
      <c r="E181" s="9"/>
      <c r="F181" s="9"/>
      <c r="G181" s="11"/>
      <c r="H181" s="9"/>
      <c r="I181" s="22"/>
      <c r="J181" s="24"/>
      <c r="K18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81" s="22"/>
    </row>
    <row r="182" spans="1:12" x14ac:dyDescent="0.25">
      <c r="A182" s="8"/>
      <c r="B182" s="1" t="str">
        <f>IF(Tabela22[[#This Row],[Data]]="","",PROPER(TEXT(Tabela22[[#This Row],[Data]],"mmm")))</f>
        <v/>
      </c>
      <c r="C182" s="1" t="str">
        <f>IF(Tabela22[[#This Row],[Data]]="","",PROPER(TEXT(Tabela22[[#This Row],[Data]],"ddd")))</f>
        <v/>
      </c>
      <c r="D182" s="9"/>
      <c r="E182" s="9"/>
      <c r="F182" s="9"/>
      <c r="G182" s="11"/>
      <c r="H182" s="9"/>
      <c r="I182" s="22"/>
      <c r="J182" s="24"/>
      <c r="K18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82" s="22"/>
    </row>
    <row r="183" spans="1:12" x14ac:dyDescent="0.25">
      <c r="A183" s="8"/>
      <c r="B183" s="1" t="str">
        <f>IF(Tabela22[[#This Row],[Data]]="","",PROPER(TEXT(Tabela22[[#This Row],[Data]],"mmm")))</f>
        <v/>
      </c>
      <c r="C183" s="1" t="str">
        <f>IF(Tabela22[[#This Row],[Data]]="","",PROPER(TEXT(Tabela22[[#This Row],[Data]],"ddd")))</f>
        <v/>
      </c>
      <c r="D183" s="9"/>
      <c r="E183" s="9"/>
      <c r="F183" s="9"/>
      <c r="G183" s="11"/>
      <c r="H183" s="9"/>
      <c r="I183" s="22"/>
      <c r="J183" s="24"/>
      <c r="K18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83" s="22"/>
    </row>
    <row r="184" spans="1:12" x14ac:dyDescent="0.25">
      <c r="A184" s="8"/>
      <c r="B184" s="1" t="str">
        <f>IF(Tabela22[[#This Row],[Data]]="","",PROPER(TEXT(Tabela22[[#This Row],[Data]],"mmm")))</f>
        <v/>
      </c>
      <c r="C184" s="1" t="str">
        <f>IF(Tabela22[[#This Row],[Data]]="","",PROPER(TEXT(Tabela22[[#This Row],[Data]],"ddd")))</f>
        <v/>
      </c>
      <c r="D184" s="9"/>
      <c r="E184" s="9"/>
      <c r="F184" s="9"/>
      <c r="G184" s="10"/>
      <c r="H184" s="9"/>
      <c r="I184" s="22"/>
      <c r="J184" s="24"/>
      <c r="K18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84" s="22"/>
    </row>
    <row r="185" spans="1:12" x14ac:dyDescent="0.25">
      <c r="A185" s="8"/>
      <c r="B185" s="1" t="str">
        <f>IF(Tabela22[[#This Row],[Data]]="","",PROPER(TEXT(Tabela22[[#This Row],[Data]],"mmm")))</f>
        <v/>
      </c>
      <c r="C185" s="1" t="str">
        <f>IF(Tabela22[[#This Row],[Data]]="","",PROPER(TEXT(Tabela22[[#This Row],[Data]],"ddd")))</f>
        <v/>
      </c>
      <c r="D185" s="9"/>
      <c r="E185" s="9"/>
      <c r="F185" s="9"/>
      <c r="G185" s="11"/>
      <c r="H185" s="9"/>
      <c r="I185" s="22"/>
      <c r="J185" s="24"/>
      <c r="K18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85" s="22"/>
    </row>
    <row r="186" spans="1:12" x14ac:dyDescent="0.25">
      <c r="A186" s="8"/>
      <c r="B186" s="1" t="str">
        <f>IF(Tabela22[[#This Row],[Data]]="","",PROPER(TEXT(Tabela22[[#This Row],[Data]],"mmm")))</f>
        <v/>
      </c>
      <c r="C186" s="1" t="str">
        <f>IF(Tabela22[[#This Row],[Data]]="","",PROPER(TEXT(Tabela22[[#This Row],[Data]],"ddd")))</f>
        <v/>
      </c>
      <c r="D186" s="9"/>
      <c r="E186" s="9"/>
      <c r="F186" s="9"/>
      <c r="G186" s="11"/>
      <c r="H186" s="9"/>
      <c r="I186" s="22"/>
      <c r="J186" s="24"/>
      <c r="K18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86" s="22"/>
    </row>
    <row r="187" spans="1:12" x14ac:dyDescent="0.25">
      <c r="A187" s="8"/>
      <c r="B187" s="1" t="str">
        <f>IF(Tabela22[[#This Row],[Data]]="","",PROPER(TEXT(Tabela22[[#This Row],[Data]],"mmm")))</f>
        <v/>
      </c>
      <c r="C187" s="1" t="str">
        <f>IF(Tabela22[[#This Row],[Data]]="","",PROPER(TEXT(Tabela22[[#This Row],[Data]],"ddd")))</f>
        <v/>
      </c>
      <c r="D187" s="9"/>
      <c r="E187" s="9"/>
      <c r="F187" s="9"/>
      <c r="G187" s="11"/>
      <c r="H187" s="9"/>
      <c r="I187" s="22"/>
      <c r="J187" s="24"/>
      <c r="K18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87" s="22"/>
    </row>
    <row r="188" spans="1:12" x14ac:dyDescent="0.25">
      <c r="A188" s="8"/>
      <c r="B188" s="1" t="str">
        <f>IF(Tabela22[[#This Row],[Data]]="","",PROPER(TEXT(Tabela22[[#This Row],[Data]],"mmm")))</f>
        <v/>
      </c>
      <c r="C188" s="1" t="str">
        <f>IF(Tabela22[[#This Row],[Data]]="","",PROPER(TEXT(Tabela22[[#This Row],[Data]],"ddd")))</f>
        <v/>
      </c>
      <c r="D188" s="9"/>
      <c r="E188" s="9"/>
      <c r="F188" s="9"/>
      <c r="G188" s="11"/>
      <c r="H188" s="9"/>
      <c r="I188" s="22"/>
      <c r="J188" s="24"/>
      <c r="K18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88" s="22"/>
    </row>
    <row r="189" spans="1:12" x14ac:dyDescent="0.25">
      <c r="A189" s="8"/>
      <c r="B189" s="1" t="str">
        <f>IF(Tabela22[[#This Row],[Data]]="","",PROPER(TEXT(Tabela22[[#This Row],[Data]],"mmm")))</f>
        <v/>
      </c>
      <c r="C189" s="1" t="str">
        <f>IF(Tabela22[[#This Row],[Data]]="","",PROPER(TEXT(Tabela22[[#This Row],[Data]],"ddd")))</f>
        <v/>
      </c>
      <c r="D189" s="9"/>
      <c r="E189" s="9"/>
      <c r="F189" s="9"/>
      <c r="G189" s="11"/>
      <c r="H189" s="9"/>
      <c r="I189" s="22"/>
      <c r="J189" s="24"/>
      <c r="K18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89" s="22"/>
    </row>
    <row r="190" spans="1:12" x14ac:dyDescent="0.25">
      <c r="A190" s="8"/>
      <c r="B190" s="1" t="str">
        <f>IF(Tabela22[[#This Row],[Data]]="","",PROPER(TEXT(Tabela22[[#This Row],[Data]],"mmm")))</f>
        <v/>
      </c>
      <c r="C190" s="1" t="str">
        <f>IF(Tabela22[[#This Row],[Data]]="","",PROPER(TEXT(Tabela22[[#This Row],[Data]],"ddd")))</f>
        <v/>
      </c>
      <c r="D190" s="9"/>
      <c r="E190" s="9"/>
      <c r="F190" s="9"/>
      <c r="G190" s="10"/>
      <c r="H190" s="9"/>
      <c r="I190" s="22"/>
      <c r="J190" s="24"/>
      <c r="K19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90" s="22"/>
    </row>
    <row r="191" spans="1:12" x14ac:dyDescent="0.25">
      <c r="A191" s="8"/>
      <c r="B191" s="1" t="str">
        <f>IF(Tabela22[[#This Row],[Data]]="","",PROPER(TEXT(Tabela22[[#This Row],[Data]],"mmm")))</f>
        <v/>
      </c>
      <c r="C191" s="1" t="str">
        <f>IF(Tabela22[[#This Row],[Data]]="","",PROPER(TEXT(Tabela22[[#This Row],[Data]],"ddd")))</f>
        <v/>
      </c>
      <c r="D191" s="9"/>
      <c r="E191" s="9"/>
      <c r="F191" s="9"/>
      <c r="G191" s="11"/>
      <c r="H191" s="9"/>
      <c r="I191" s="22"/>
      <c r="J191" s="24"/>
      <c r="K19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91" s="22"/>
    </row>
    <row r="192" spans="1:12" x14ac:dyDescent="0.25">
      <c r="A192" s="8"/>
      <c r="B192" s="1" t="str">
        <f>IF(Tabela22[[#This Row],[Data]]="","",PROPER(TEXT(Tabela22[[#This Row],[Data]],"mmm")))</f>
        <v/>
      </c>
      <c r="C192" s="1" t="str">
        <f>IF(Tabela22[[#This Row],[Data]]="","",PROPER(TEXT(Tabela22[[#This Row],[Data]],"ddd")))</f>
        <v/>
      </c>
      <c r="D192" s="9"/>
      <c r="E192" s="9"/>
      <c r="F192" s="9"/>
      <c r="G192" s="11"/>
      <c r="H192" s="9"/>
      <c r="I192" s="22"/>
      <c r="J192" s="24"/>
      <c r="K19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92" s="22"/>
    </row>
    <row r="193" spans="1:12" x14ac:dyDescent="0.25">
      <c r="A193" s="8"/>
      <c r="B193" s="1" t="str">
        <f>IF(Tabela22[[#This Row],[Data]]="","",PROPER(TEXT(Tabela22[[#This Row],[Data]],"mmm")))</f>
        <v/>
      </c>
      <c r="C193" s="1" t="str">
        <f>IF(Tabela22[[#This Row],[Data]]="","",PROPER(TEXT(Tabela22[[#This Row],[Data]],"ddd")))</f>
        <v/>
      </c>
      <c r="D193" s="9"/>
      <c r="E193" s="9"/>
      <c r="F193" s="9"/>
      <c r="G193" s="11"/>
      <c r="H193" s="9"/>
      <c r="I193" s="22"/>
      <c r="J193" s="24"/>
      <c r="K19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93" s="22"/>
    </row>
    <row r="194" spans="1:12" x14ac:dyDescent="0.25">
      <c r="A194" s="8"/>
      <c r="B194" s="1" t="str">
        <f>IF(Tabela22[[#This Row],[Data]]="","",PROPER(TEXT(Tabela22[[#This Row],[Data]],"mmm")))</f>
        <v/>
      </c>
      <c r="C194" s="1" t="str">
        <f>IF(Tabela22[[#This Row],[Data]]="","",PROPER(TEXT(Tabela22[[#This Row],[Data]],"ddd")))</f>
        <v/>
      </c>
      <c r="D194" s="9"/>
      <c r="E194" s="9"/>
      <c r="F194" s="9"/>
      <c r="G194" s="11"/>
      <c r="H194" s="9"/>
      <c r="I194" s="22"/>
      <c r="J194" s="24"/>
      <c r="K19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94" s="22"/>
    </row>
    <row r="195" spans="1:12" x14ac:dyDescent="0.25">
      <c r="A195" s="8"/>
      <c r="B195" s="1" t="str">
        <f>IF(Tabela22[[#This Row],[Data]]="","",PROPER(TEXT(Tabela22[[#This Row],[Data]],"mmm")))</f>
        <v/>
      </c>
      <c r="C195" s="1" t="str">
        <f>IF(Tabela22[[#This Row],[Data]]="","",PROPER(TEXT(Tabela22[[#This Row],[Data]],"ddd")))</f>
        <v/>
      </c>
      <c r="D195" s="9"/>
      <c r="E195" s="9"/>
      <c r="F195" s="9"/>
      <c r="G195" s="11"/>
      <c r="H195" s="9"/>
      <c r="I195" s="22"/>
      <c r="J195" s="24"/>
      <c r="K19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95" s="22"/>
    </row>
    <row r="196" spans="1:12" x14ac:dyDescent="0.25">
      <c r="A196" s="8"/>
      <c r="B196" s="1" t="str">
        <f>IF(Tabela22[[#This Row],[Data]]="","",PROPER(TEXT(Tabela22[[#This Row],[Data]],"mmm")))</f>
        <v/>
      </c>
      <c r="C196" s="1" t="str">
        <f>IF(Tabela22[[#This Row],[Data]]="","",PROPER(TEXT(Tabela22[[#This Row],[Data]],"ddd")))</f>
        <v/>
      </c>
      <c r="D196" s="9"/>
      <c r="E196" s="9"/>
      <c r="F196" s="9"/>
      <c r="G196" s="10"/>
      <c r="H196" s="9"/>
      <c r="I196" s="22"/>
      <c r="J196" s="24"/>
      <c r="K19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96" s="22"/>
    </row>
    <row r="197" spans="1:12" x14ac:dyDescent="0.25">
      <c r="A197" s="8"/>
      <c r="B197" s="1" t="str">
        <f>IF(Tabela22[[#This Row],[Data]]="","",PROPER(TEXT(Tabela22[[#This Row],[Data]],"mmm")))</f>
        <v/>
      </c>
      <c r="C197" s="1" t="str">
        <f>IF(Tabela22[[#This Row],[Data]]="","",PROPER(TEXT(Tabela22[[#This Row],[Data]],"ddd")))</f>
        <v/>
      </c>
      <c r="D197" s="9"/>
      <c r="E197" s="9"/>
      <c r="F197" s="9"/>
      <c r="G197" s="11"/>
      <c r="H197" s="9"/>
      <c r="I197" s="22"/>
      <c r="J197" s="24"/>
      <c r="K19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97" s="22"/>
    </row>
    <row r="198" spans="1:12" x14ac:dyDescent="0.25">
      <c r="A198" s="8"/>
      <c r="B198" s="1" t="str">
        <f>IF(Tabela22[[#This Row],[Data]]="","",PROPER(TEXT(Tabela22[[#This Row],[Data]],"mmm")))</f>
        <v/>
      </c>
      <c r="C198" s="1" t="str">
        <f>IF(Tabela22[[#This Row],[Data]]="","",PROPER(TEXT(Tabela22[[#This Row],[Data]],"ddd")))</f>
        <v/>
      </c>
      <c r="D198" s="9"/>
      <c r="E198" s="9"/>
      <c r="F198" s="9"/>
      <c r="G198" s="11"/>
      <c r="H198" s="9"/>
      <c r="I198" s="22"/>
      <c r="J198" s="24"/>
      <c r="K19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98" s="22"/>
    </row>
    <row r="199" spans="1:12" x14ac:dyDescent="0.25">
      <c r="A199" s="8"/>
      <c r="B199" s="1" t="str">
        <f>IF(Tabela22[[#This Row],[Data]]="","",PROPER(TEXT(Tabela22[[#This Row],[Data]],"mmm")))</f>
        <v/>
      </c>
      <c r="C199" s="1" t="str">
        <f>IF(Tabela22[[#This Row],[Data]]="","",PROPER(TEXT(Tabela22[[#This Row],[Data]],"ddd")))</f>
        <v/>
      </c>
      <c r="D199" s="9"/>
      <c r="E199" s="9"/>
      <c r="F199" s="9"/>
      <c r="G199" s="11"/>
      <c r="H199" s="9"/>
      <c r="I199" s="22"/>
      <c r="J199" s="24"/>
      <c r="K19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199" s="22"/>
    </row>
    <row r="200" spans="1:12" x14ac:dyDescent="0.25">
      <c r="A200" s="8"/>
      <c r="B200" s="1" t="str">
        <f>IF(Tabela22[[#This Row],[Data]]="","",PROPER(TEXT(Tabela22[[#This Row],[Data]],"mmm")))</f>
        <v/>
      </c>
      <c r="C200" s="1" t="str">
        <f>IF(Tabela22[[#This Row],[Data]]="","",PROPER(TEXT(Tabela22[[#This Row],[Data]],"ddd")))</f>
        <v/>
      </c>
      <c r="D200" s="9"/>
      <c r="E200" s="9"/>
      <c r="F200" s="9"/>
      <c r="G200" s="11"/>
      <c r="H200" s="9"/>
      <c r="I200" s="22"/>
      <c r="J200" s="24"/>
      <c r="K20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00" s="22"/>
    </row>
    <row r="201" spans="1:12" x14ac:dyDescent="0.25">
      <c r="A201" s="8"/>
      <c r="B201" s="1" t="str">
        <f>IF(Tabela22[[#This Row],[Data]]="","",PROPER(TEXT(Tabela22[[#This Row],[Data]],"mmm")))</f>
        <v/>
      </c>
      <c r="C201" s="1" t="str">
        <f>IF(Tabela22[[#This Row],[Data]]="","",PROPER(TEXT(Tabela22[[#This Row],[Data]],"ddd")))</f>
        <v/>
      </c>
      <c r="D201" s="9"/>
      <c r="E201" s="9"/>
      <c r="F201" s="9"/>
      <c r="G201" s="11"/>
      <c r="H201" s="9"/>
      <c r="I201" s="22"/>
      <c r="J201" s="24"/>
      <c r="K20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01" s="22"/>
    </row>
    <row r="202" spans="1:12" x14ac:dyDescent="0.25">
      <c r="A202" s="8"/>
      <c r="B202" s="1" t="str">
        <f>IF(Tabela22[[#This Row],[Data]]="","",PROPER(TEXT(Tabela22[[#This Row],[Data]],"mmm")))</f>
        <v/>
      </c>
      <c r="C202" s="1" t="str">
        <f>IF(Tabela22[[#This Row],[Data]]="","",PROPER(TEXT(Tabela22[[#This Row],[Data]],"ddd")))</f>
        <v/>
      </c>
      <c r="D202" s="9"/>
      <c r="E202" s="9"/>
      <c r="F202" s="9"/>
      <c r="G202" s="10"/>
      <c r="H202" s="9"/>
      <c r="I202" s="22"/>
      <c r="J202" s="24"/>
      <c r="K20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02" s="22"/>
    </row>
    <row r="203" spans="1:12" x14ac:dyDescent="0.25">
      <c r="A203" s="8"/>
      <c r="B203" s="1" t="str">
        <f>IF(Tabela22[[#This Row],[Data]]="","",PROPER(TEXT(Tabela22[[#This Row],[Data]],"mmm")))</f>
        <v/>
      </c>
      <c r="C203" s="1" t="str">
        <f>IF(Tabela22[[#This Row],[Data]]="","",PROPER(TEXT(Tabela22[[#This Row],[Data]],"ddd")))</f>
        <v/>
      </c>
      <c r="D203" s="9"/>
      <c r="E203" s="9"/>
      <c r="F203" s="9"/>
      <c r="G203" s="11"/>
      <c r="H203" s="9"/>
      <c r="I203" s="22"/>
      <c r="J203" s="24"/>
      <c r="K20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03" s="22"/>
    </row>
    <row r="204" spans="1:12" x14ac:dyDescent="0.25">
      <c r="A204" s="8"/>
      <c r="B204" s="1" t="str">
        <f>IF(Tabela22[[#This Row],[Data]]="","",PROPER(TEXT(Tabela22[[#This Row],[Data]],"mmm")))</f>
        <v/>
      </c>
      <c r="C204" s="1" t="str">
        <f>IF(Tabela22[[#This Row],[Data]]="","",PROPER(TEXT(Tabela22[[#This Row],[Data]],"ddd")))</f>
        <v/>
      </c>
      <c r="D204" s="9"/>
      <c r="E204" s="9"/>
      <c r="F204" s="9"/>
      <c r="G204" s="11"/>
      <c r="H204" s="9"/>
      <c r="I204" s="22"/>
      <c r="J204" s="24"/>
      <c r="K20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04" s="22"/>
    </row>
    <row r="205" spans="1:12" x14ac:dyDescent="0.25">
      <c r="A205" s="8"/>
      <c r="B205" s="1" t="str">
        <f>IF(Tabela22[[#This Row],[Data]]="","",PROPER(TEXT(Tabela22[[#This Row],[Data]],"mmm")))</f>
        <v/>
      </c>
      <c r="C205" s="1" t="str">
        <f>IF(Tabela22[[#This Row],[Data]]="","",PROPER(TEXT(Tabela22[[#This Row],[Data]],"ddd")))</f>
        <v/>
      </c>
      <c r="D205" s="9"/>
      <c r="E205" s="9"/>
      <c r="F205" s="9"/>
      <c r="G205" s="11"/>
      <c r="H205" s="9"/>
      <c r="I205" s="22"/>
      <c r="J205" s="24"/>
      <c r="K20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05" s="22"/>
    </row>
    <row r="206" spans="1:12" x14ac:dyDescent="0.25">
      <c r="A206" s="8"/>
      <c r="B206" s="1" t="str">
        <f>IF(Tabela22[[#This Row],[Data]]="","",PROPER(TEXT(Tabela22[[#This Row],[Data]],"mmm")))</f>
        <v/>
      </c>
      <c r="C206" s="1" t="str">
        <f>IF(Tabela22[[#This Row],[Data]]="","",PROPER(TEXT(Tabela22[[#This Row],[Data]],"ddd")))</f>
        <v/>
      </c>
      <c r="D206" s="9"/>
      <c r="E206" s="9"/>
      <c r="F206" s="9"/>
      <c r="G206" s="11"/>
      <c r="H206" s="9"/>
      <c r="I206" s="22"/>
      <c r="J206" s="24"/>
      <c r="K20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06" s="22"/>
    </row>
    <row r="207" spans="1:12" x14ac:dyDescent="0.25">
      <c r="A207" s="8"/>
      <c r="B207" s="1" t="str">
        <f>IF(Tabela22[[#This Row],[Data]]="","",PROPER(TEXT(Tabela22[[#This Row],[Data]],"mmm")))</f>
        <v/>
      </c>
      <c r="C207" s="1" t="str">
        <f>IF(Tabela22[[#This Row],[Data]]="","",PROPER(TEXT(Tabela22[[#This Row],[Data]],"ddd")))</f>
        <v/>
      </c>
      <c r="D207" s="9"/>
      <c r="E207" s="9"/>
      <c r="F207" s="9"/>
      <c r="G207" s="11"/>
      <c r="H207" s="9"/>
      <c r="I207" s="22"/>
      <c r="J207" s="24"/>
      <c r="K20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07" s="22"/>
    </row>
    <row r="208" spans="1:12" x14ac:dyDescent="0.25">
      <c r="A208" s="8"/>
      <c r="B208" s="1" t="str">
        <f>IF(Tabela22[[#This Row],[Data]]="","",PROPER(TEXT(Tabela22[[#This Row],[Data]],"mmm")))</f>
        <v/>
      </c>
      <c r="C208" s="1" t="str">
        <f>IF(Tabela22[[#This Row],[Data]]="","",PROPER(TEXT(Tabela22[[#This Row],[Data]],"ddd")))</f>
        <v/>
      </c>
      <c r="D208" s="9"/>
      <c r="E208" s="9"/>
      <c r="F208" s="9"/>
      <c r="G208" s="10"/>
      <c r="H208" s="9"/>
      <c r="I208" s="22"/>
      <c r="J208" s="24"/>
      <c r="K20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08" s="22"/>
    </row>
    <row r="209" spans="1:12" x14ac:dyDescent="0.25">
      <c r="A209" s="8"/>
      <c r="B209" s="1" t="str">
        <f>IF(Tabela22[[#This Row],[Data]]="","",PROPER(TEXT(Tabela22[[#This Row],[Data]],"mmm")))</f>
        <v/>
      </c>
      <c r="C209" s="1" t="str">
        <f>IF(Tabela22[[#This Row],[Data]]="","",PROPER(TEXT(Tabela22[[#This Row],[Data]],"ddd")))</f>
        <v/>
      </c>
      <c r="D209" s="9"/>
      <c r="E209" s="9"/>
      <c r="F209" s="9"/>
      <c r="G209" s="11"/>
      <c r="H209" s="9"/>
      <c r="I209" s="22"/>
      <c r="J209" s="24"/>
      <c r="K20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09" s="22"/>
    </row>
    <row r="210" spans="1:12" x14ac:dyDescent="0.25">
      <c r="A210" s="8"/>
      <c r="B210" s="1" t="str">
        <f>IF(Tabela22[[#This Row],[Data]]="","",PROPER(TEXT(Tabela22[[#This Row],[Data]],"mmm")))</f>
        <v/>
      </c>
      <c r="C210" s="1" t="str">
        <f>IF(Tabela22[[#This Row],[Data]]="","",PROPER(TEXT(Tabela22[[#This Row],[Data]],"ddd")))</f>
        <v/>
      </c>
      <c r="D210" s="9"/>
      <c r="E210" s="9"/>
      <c r="F210" s="9"/>
      <c r="G210" s="11"/>
      <c r="H210" s="9"/>
      <c r="I210" s="22"/>
      <c r="J210" s="24"/>
      <c r="K21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10" s="22"/>
    </row>
    <row r="211" spans="1:12" x14ac:dyDescent="0.25">
      <c r="A211" s="8"/>
      <c r="B211" s="1" t="str">
        <f>IF(Tabela22[[#This Row],[Data]]="","",PROPER(TEXT(Tabela22[[#This Row],[Data]],"mmm")))</f>
        <v/>
      </c>
      <c r="C211" s="1" t="str">
        <f>IF(Tabela22[[#This Row],[Data]]="","",PROPER(TEXT(Tabela22[[#This Row],[Data]],"ddd")))</f>
        <v/>
      </c>
      <c r="D211" s="9"/>
      <c r="E211" s="9"/>
      <c r="F211" s="9"/>
      <c r="G211" s="11"/>
      <c r="H211" s="9"/>
      <c r="I211" s="22"/>
      <c r="J211" s="24"/>
      <c r="K21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11" s="22"/>
    </row>
    <row r="212" spans="1:12" x14ac:dyDescent="0.25">
      <c r="A212" s="8"/>
      <c r="B212" s="1" t="str">
        <f>IF(Tabela22[[#This Row],[Data]]="","",PROPER(TEXT(Tabela22[[#This Row],[Data]],"mmm")))</f>
        <v/>
      </c>
      <c r="C212" s="1" t="str">
        <f>IF(Tabela22[[#This Row],[Data]]="","",PROPER(TEXT(Tabela22[[#This Row],[Data]],"ddd")))</f>
        <v/>
      </c>
      <c r="D212" s="9"/>
      <c r="E212" s="9"/>
      <c r="F212" s="9"/>
      <c r="G212" s="11"/>
      <c r="H212" s="9"/>
      <c r="I212" s="22"/>
      <c r="J212" s="24"/>
      <c r="K21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12" s="22"/>
    </row>
    <row r="213" spans="1:12" x14ac:dyDescent="0.25">
      <c r="A213" s="8"/>
      <c r="B213" s="1" t="str">
        <f>IF(Tabela22[[#This Row],[Data]]="","",PROPER(TEXT(Tabela22[[#This Row],[Data]],"mmm")))</f>
        <v/>
      </c>
      <c r="C213" s="1" t="str">
        <f>IF(Tabela22[[#This Row],[Data]]="","",PROPER(TEXT(Tabela22[[#This Row],[Data]],"ddd")))</f>
        <v/>
      </c>
      <c r="D213" s="9"/>
      <c r="E213" s="9"/>
      <c r="F213" s="9"/>
      <c r="G213" s="11"/>
      <c r="H213" s="9"/>
      <c r="I213" s="22"/>
      <c r="J213" s="24"/>
      <c r="K21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13" s="22"/>
    </row>
    <row r="214" spans="1:12" x14ac:dyDescent="0.25">
      <c r="A214" s="8"/>
      <c r="B214" s="1" t="str">
        <f>IF(Tabela22[[#This Row],[Data]]="","",PROPER(TEXT(Tabela22[[#This Row],[Data]],"mmm")))</f>
        <v/>
      </c>
      <c r="C214" s="1" t="str">
        <f>IF(Tabela22[[#This Row],[Data]]="","",PROPER(TEXT(Tabela22[[#This Row],[Data]],"ddd")))</f>
        <v/>
      </c>
      <c r="D214" s="9"/>
      <c r="E214" s="9"/>
      <c r="F214" s="9"/>
      <c r="G214" s="10"/>
      <c r="H214" s="9"/>
      <c r="I214" s="22"/>
      <c r="J214" s="24"/>
      <c r="K21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14" s="22"/>
    </row>
    <row r="215" spans="1:12" x14ac:dyDescent="0.25">
      <c r="A215" s="8"/>
      <c r="B215" s="1" t="str">
        <f>IF(Tabela22[[#This Row],[Data]]="","",PROPER(TEXT(Tabela22[[#This Row],[Data]],"mmm")))</f>
        <v/>
      </c>
      <c r="C215" s="1" t="str">
        <f>IF(Tabela22[[#This Row],[Data]]="","",PROPER(TEXT(Tabela22[[#This Row],[Data]],"ddd")))</f>
        <v/>
      </c>
      <c r="D215" s="9"/>
      <c r="E215" s="9"/>
      <c r="F215" s="9"/>
      <c r="G215" s="11"/>
      <c r="H215" s="9"/>
      <c r="I215" s="22"/>
      <c r="J215" s="24"/>
      <c r="K21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15" s="22"/>
    </row>
    <row r="216" spans="1:12" x14ac:dyDescent="0.25">
      <c r="A216" s="8"/>
      <c r="B216" s="1" t="str">
        <f>IF(Tabela22[[#This Row],[Data]]="","",PROPER(TEXT(Tabela22[[#This Row],[Data]],"mmm")))</f>
        <v/>
      </c>
      <c r="C216" s="1" t="str">
        <f>IF(Tabela22[[#This Row],[Data]]="","",PROPER(TEXT(Tabela22[[#This Row],[Data]],"ddd")))</f>
        <v/>
      </c>
      <c r="D216" s="9"/>
      <c r="E216" s="9"/>
      <c r="F216" s="9"/>
      <c r="G216" s="11"/>
      <c r="H216" s="9"/>
      <c r="I216" s="22"/>
      <c r="J216" s="24"/>
      <c r="K21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16" s="22"/>
    </row>
    <row r="217" spans="1:12" x14ac:dyDescent="0.25">
      <c r="A217" s="8"/>
      <c r="B217" s="1" t="str">
        <f>IF(Tabela22[[#This Row],[Data]]="","",PROPER(TEXT(Tabela22[[#This Row],[Data]],"mmm")))</f>
        <v/>
      </c>
      <c r="C217" s="1" t="str">
        <f>IF(Tabela22[[#This Row],[Data]]="","",PROPER(TEXT(Tabela22[[#This Row],[Data]],"ddd")))</f>
        <v/>
      </c>
      <c r="D217" s="9"/>
      <c r="E217" s="9"/>
      <c r="F217" s="9"/>
      <c r="G217" s="11"/>
      <c r="H217" s="9"/>
      <c r="I217" s="22"/>
      <c r="J217" s="24"/>
      <c r="K21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17" s="22"/>
    </row>
    <row r="218" spans="1:12" x14ac:dyDescent="0.25">
      <c r="A218" s="8"/>
      <c r="B218" s="1" t="str">
        <f>IF(Tabela22[[#This Row],[Data]]="","",PROPER(TEXT(Tabela22[[#This Row],[Data]],"mmm")))</f>
        <v/>
      </c>
      <c r="C218" s="1" t="str">
        <f>IF(Tabela22[[#This Row],[Data]]="","",PROPER(TEXT(Tabela22[[#This Row],[Data]],"ddd")))</f>
        <v/>
      </c>
      <c r="D218" s="9"/>
      <c r="E218" s="9"/>
      <c r="F218" s="9"/>
      <c r="G218" s="11"/>
      <c r="H218" s="9"/>
      <c r="I218" s="22"/>
      <c r="J218" s="24"/>
      <c r="K21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18" s="22"/>
    </row>
    <row r="219" spans="1:12" x14ac:dyDescent="0.25">
      <c r="A219" s="8"/>
      <c r="B219" s="1" t="str">
        <f>IF(Tabela22[[#This Row],[Data]]="","",PROPER(TEXT(Tabela22[[#This Row],[Data]],"mmm")))</f>
        <v/>
      </c>
      <c r="C219" s="1" t="str">
        <f>IF(Tabela22[[#This Row],[Data]]="","",PROPER(TEXT(Tabela22[[#This Row],[Data]],"ddd")))</f>
        <v/>
      </c>
      <c r="D219" s="9"/>
      <c r="E219" s="9"/>
      <c r="F219" s="9"/>
      <c r="G219" s="11"/>
      <c r="H219" s="9"/>
      <c r="I219" s="22"/>
      <c r="J219" s="24"/>
      <c r="K21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19" s="22"/>
    </row>
    <row r="220" spans="1:12" x14ac:dyDescent="0.25">
      <c r="A220" s="8"/>
      <c r="B220" s="1" t="str">
        <f>IF(Tabela22[[#This Row],[Data]]="","",PROPER(TEXT(Tabela22[[#This Row],[Data]],"mmm")))</f>
        <v/>
      </c>
      <c r="C220" s="1" t="str">
        <f>IF(Tabela22[[#This Row],[Data]]="","",PROPER(TEXT(Tabela22[[#This Row],[Data]],"ddd")))</f>
        <v/>
      </c>
      <c r="D220" s="9"/>
      <c r="E220" s="9"/>
      <c r="F220" s="9"/>
      <c r="G220" s="10"/>
      <c r="H220" s="9"/>
      <c r="I220" s="22"/>
      <c r="J220" s="24"/>
      <c r="K22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20" s="22"/>
    </row>
    <row r="221" spans="1:12" x14ac:dyDescent="0.25">
      <c r="A221" s="8"/>
      <c r="B221" s="1" t="str">
        <f>IF(Tabela22[[#This Row],[Data]]="","",PROPER(TEXT(Tabela22[[#This Row],[Data]],"mmm")))</f>
        <v/>
      </c>
      <c r="C221" s="1" t="str">
        <f>IF(Tabela22[[#This Row],[Data]]="","",PROPER(TEXT(Tabela22[[#This Row],[Data]],"ddd")))</f>
        <v/>
      </c>
      <c r="D221" s="9"/>
      <c r="E221" s="9"/>
      <c r="F221" s="9"/>
      <c r="G221" s="11"/>
      <c r="H221" s="9"/>
      <c r="I221" s="22"/>
      <c r="J221" s="24"/>
      <c r="K22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21" s="22"/>
    </row>
    <row r="222" spans="1:12" x14ac:dyDescent="0.25">
      <c r="A222" s="8"/>
      <c r="B222" s="1" t="str">
        <f>IF(Tabela22[[#This Row],[Data]]="","",PROPER(TEXT(Tabela22[[#This Row],[Data]],"mmm")))</f>
        <v/>
      </c>
      <c r="C222" s="1" t="str">
        <f>IF(Tabela22[[#This Row],[Data]]="","",PROPER(TEXT(Tabela22[[#This Row],[Data]],"ddd")))</f>
        <v/>
      </c>
      <c r="D222" s="9"/>
      <c r="E222" s="9"/>
      <c r="F222" s="9"/>
      <c r="G222" s="11"/>
      <c r="H222" s="9"/>
      <c r="I222" s="22"/>
      <c r="J222" s="24"/>
      <c r="K22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22" s="22"/>
    </row>
    <row r="223" spans="1:12" x14ac:dyDescent="0.25">
      <c r="A223" s="8"/>
      <c r="B223" s="1" t="str">
        <f>IF(Tabela22[[#This Row],[Data]]="","",PROPER(TEXT(Tabela22[[#This Row],[Data]],"mmm")))</f>
        <v/>
      </c>
      <c r="C223" s="1" t="str">
        <f>IF(Tabela22[[#This Row],[Data]]="","",PROPER(TEXT(Tabela22[[#This Row],[Data]],"ddd")))</f>
        <v/>
      </c>
      <c r="D223" s="9"/>
      <c r="E223" s="9"/>
      <c r="F223" s="9"/>
      <c r="G223" s="11"/>
      <c r="H223" s="9"/>
      <c r="I223" s="22"/>
      <c r="J223" s="24"/>
      <c r="K22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23" s="22"/>
    </row>
    <row r="224" spans="1:12" x14ac:dyDescent="0.25">
      <c r="A224" s="8"/>
      <c r="B224" s="1" t="str">
        <f>IF(Tabela22[[#This Row],[Data]]="","",PROPER(TEXT(Tabela22[[#This Row],[Data]],"mmm")))</f>
        <v/>
      </c>
      <c r="C224" s="1" t="str">
        <f>IF(Tabela22[[#This Row],[Data]]="","",PROPER(TEXT(Tabela22[[#This Row],[Data]],"ddd")))</f>
        <v/>
      </c>
      <c r="D224" s="9"/>
      <c r="E224" s="9"/>
      <c r="F224" s="9"/>
      <c r="G224" s="11"/>
      <c r="H224" s="9"/>
      <c r="I224" s="22"/>
      <c r="J224" s="24"/>
      <c r="K22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24" s="22"/>
    </row>
    <row r="225" spans="1:12" x14ac:dyDescent="0.25">
      <c r="A225" s="8"/>
      <c r="B225" s="1" t="str">
        <f>IF(Tabela22[[#This Row],[Data]]="","",PROPER(TEXT(Tabela22[[#This Row],[Data]],"mmm")))</f>
        <v/>
      </c>
      <c r="C225" s="1" t="str">
        <f>IF(Tabela22[[#This Row],[Data]]="","",PROPER(TEXT(Tabela22[[#This Row],[Data]],"ddd")))</f>
        <v/>
      </c>
      <c r="D225" s="9"/>
      <c r="E225" s="9"/>
      <c r="F225" s="9"/>
      <c r="G225" s="11"/>
      <c r="H225" s="9"/>
      <c r="I225" s="22"/>
      <c r="J225" s="24"/>
      <c r="K22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25" s="22"/>
    </row>
    <row r="226" spans="1:12" x14ac:dyDescent="0.25">
      <c r="A226" s="8"/>
      <c r="B226" s="1" t="str">
        <f>IF(Tabela22[[#This Row],[Data]]="","",PROPER(TEXT(Tabela22[[#This Row],[Data]],"mmm")))</f>
        <v/>
      </c>
      <c r="C226" s="1" t="str">
        <f>IF(Tabela22[[#This Row],[Data]]="","",PROPER(TEXT(Tabela22[[#This Row],[Data]],"ddd")))</f>
        <v/>
      </c>
      <c r="D226" s="9"/>
      <c r="E226" s="9"/>
      <c r="F226" s="9"/>
      <c r="G226" s="10"/>
      <c r="H226" s="9"/>
      <c r="I226" s="22"/>
      <c r="J226" s="24"/>
      <c r="K22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26" s="22"/>
    </row>
    <row r="227" spans="1:12" x14ac:dyDescent="0.25">
      <c r="A227" s="8"/>
      <c r="B227" s="1" t="str">
        <f>IF(Tabela22[[#This Row],[Data]]="","",PROPER(TEXT(Tabela22[[#This Row],[Data]],"mmm")))</f>
        <v/>
      </c>
      <c r="C227" s="1" t="str">
        <f>IF(Tabela22[[#This Row],[Data]]="","",PROPER(TEXT(Tabela22[[#This Row],[Data]],"ddd")))</f>
        <v/>
      </c>
      <c r="D227" s="9"/>
      <c r="E227" s="9"/>
      <c r="F227" s="9"/>
      <c r="G227" s="11"/>
      <c r="H227" s="9"/>
      <c r="I227" s="22"/>
      <c r="J227" s="24"/>
      <c r="K22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27" s="22"/>
    </row>
    <row r="228" spans="1:12" x14ac:dyDescent="0.25">
      <c r="A228" s="8"/>
      <c r="B228" s="1" t="str">
        <f>IF(Tabela22[[#This Row],[Data]]="","",PROPER(TEXT(Tabela22[[#This Row],[Data]],"mmm")))</f>
        <v/>
      </c>
      <c r="C228" s="1" t="str">
        <f>IF(Tabela22[[#This Row],[Data]]="","",PROPER(TEXT(Tabela22[[#This Row],[Data]],"ddd")))</f>
        <v/>
      </c>
      <c r="D228" s="9"/>
      <c r="E228" s="9"/>
      <c r="F228" s="9"/>
      <c r="G228" s="11"/>
      <c r="H228" s="9"/>
      <c r="I228" s="22"/>
      <c r="J228" s="24"/>
      <c r="K22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28" s="22"/>
    </row>
    <row r="229" spans="1:12" x14ac:dyDescent="0.25">
      <c r="A229" s="8"/>
      <c r="B229" s="1" t="str">
        <f>IF(Tabela22[[#This Row],[Data]]="","",PROPER(TEXT(Tabela22[[#This Row],[Data]],"mmm")))</f>
        <v/>
      </c>
      <c r="C229" s="1" t="str">
        <f>IF(Tabela22[[#This Row],[Data]]="","",PROPER(TEXT(Tabela22[[#This Row],[Data]],"ddd")))</f>
        <v/>
      </c>
      <c r="D229" s="9"/>
      <c r="E229" s="9"/>
      <c r="F229" s="9"/>
      <c r="G229" s="11"/>
      <c r="H229" s="9"/>
      <c r="I229" s="22"/>
      <c r="J229" s="24"/>
      <c r="K22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29" s="22"/>
    </row>
    <row r="230" spans="1:12" x14ac:dyDescent="0.25">
      <c r="A230" s="8"/>
      <c r="B230" s="1" t="str">
        <f>IF(Tabela22[[#This Row],[Data]]="","",PROPER(TEXT(Tabela22[[#This Row],[Data]],"mmm")))</f>
        <v/>
      </c>
      <c r="C230" s="1" t="str">
        <f>IF(Tabela22[[#This Row],[Data]]="","",PROPER(TEXT(Tabela22[[#This Row],[Data]],"ddd")))</f>
        <v/>
      </c>
      <c r="D230" s="9"/>
      <c r="E230" s="9"/>
      <c r="F230" s="9"/>
      <c r="G230" s="11"/>
      <c r="H230" s="9"/>
      <c r="I230" s="22"/>
      <c r="J230" s="24"/>
      <c r="K23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30" s="22"/>
    </row>
    <row r="231" spans="1:12" x14ac:dyDescent="0.25">
      <c r="A231" s="8"/>
      <c r="B231" s="1" t="str">
        <f>IF(Tabela22[[#This Row],[Data]]="","",PROPER(TEXT(Tabela22[[#This Row],[Data]],"mmm")))</f>
        <v/>
      </c>
      <c r="C231" s="1" t="str">
        <f>IF(Tabela22[[#This Row],[Data]]="","",PROPER(TEXT(Tabela22[[#This Row],[Data]],"ddd")))</f>
        <v/>
      </c>
      <c r="D231" s="9"/>
      <c r="E231" s="9"/>
      <c r="F231" s="9"/>
      <c r="G231" s="11"/>
      <c r="H231" s="9"/>
      <c r="I231" s="22"/>
      <c r="J231" s="24"/>
      <c r="K23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31" s="22"/>
    </row>
    <row r="232" spans="1:12" x14ac:dyDescent="0.25">
      <c r="A232" s="8"/>
      <c r="B232" s="1" t="str">
        <f>IF(Tabela22[[#This Row],[Data]]="","",PROPER(TEXT(Tabela22[[#This Row],[Data]],"mmm")))</f>
        <v/>
      </c>
      <c r="C232" s="1" t="str">
        <f>IF(Tabela22[[#This Row],[Data]]="","",PROPER(TEXT(Tabela22[[#This Row],[Data]],"ddd")))</f>
        <v/>
      </c>
      <c r="D232" s="9"/>
      <c r="E232" s="9"/>
      <c r="F232" s="9"/>
      <c r="G232" s="10"/>
      <c r="H232" s="9"/>
      <c r="I232" s="22"/>
      <c r="J232" s="24"/>
      <c r="K23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32" s="22"/>
    </row>
    <row r="233" spans="1:12" x14ac:dyDescent="0.25">
      <c r="A233" s="8"/>
      <c r="B233" s="1" t="str">
        <f>IF(Tabela22[[#This Row],[Data]]="","",PROPER(TEXT(Tabela22[[#This Row],[Data]],"mmm")))</f>
        <v/>
      </c>
      <c r="C233" s="1" t="str">
        <f>IF(Tabela22[[#This Row],[Data]]="","",PROPER(TEXT(Tabela22[[#This Row],[Data]],"ddd")))</f>
        <v/>
      </c>
      <c r="D233" s="9"/>
      <c r="E233" s="9"/>
      <c r="F233" s="9"/>
      <c r="G233" s="11"/>
      <c r="H233" s="9"/>
      <c r="I233" s="22"/>
      <c r="J233" s="24"/>
      <c r="K23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33" s="22"/>
    </row>
    <row r="234" spans="1:12" x14ac:dyDescent="0.25">
      <c r="A234" s="8"/>
      <c r="B234" s="1" t="str">
        <f>IF(Tabela22[[#This Row],[Data]]="","",PROPER(TEXT(Tabela22[[#This Row],[Data]],"mmm")))</f>
        <v/>
      </c>
      <c r="C234" s="1" t="str">
        <f>IF(Tabela22[[#This Row],[Data]]="","",PROPER(TEXT(Tabela22[[#This Row],[Data]],"ddd")))</f>
        <v/>
      </c>
      <c r="D234" s="9"/>
      <c r="E234" s="9"/>
      <c r="F234" s="9"/>
      <c r="G234" s="11"/>
      <c r="H234" s="9"/>
      <c r="I234" s="22"/>
      <c r="J234" s="24"/>
      <c r="K23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34" s="22"/>
    </row>
    <row r="235" spans="1:12" x14ac:dyDescent="0.25">
      <c r="A235" s="8"/>
      <c r="B235" s="1" t="str">
        <f>IF(Tabela22[[#This Row],[Data]]="","",PROPER(TEXT(Tabela22[[#This Row],[Data]],"mmm")))</f>
        <v/>
      </c>
      <c r="C235" s="1" t="str">
        <f>IF(Tabela22[[#This Row],[Data]]="","",PROPER(TEXT(Tabela22[[#This Row],[Data]],"ddd")))</f>
        <v/>
      </c>
      <c r="D235" s="9"/>
      <c r="E235" s="9"/>
      <c r="F235" s="9"/>
      <c r="G235" s="11"/>
      <c r="H235" s="9"/>
      <c r="I235" s="22"/>
      <c r="J235" s="24"/>
      <c r="K23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35" s="22"/>
    </row>
    <row r="236" spans="1:12" x14ac:dyDescent="0.25">
      <c r="A236" s="8"/>
      <c r="B236" s="1" t="str">
        <f>IF(Tabela22[[#This Row],[Data]]="","",PROPER(TEXT(Tabela22[[#This Row],[Data]],"mmm")))</f>
        <v/>
      </c>
      <c r="C236" s="1" t="str">
        <f>IF(Tabela22[[#This Row],[Data]]="","",PROPER(TEXT(Tabela22[[#This Row],[Data]],"ddd")))</f>
        <v/>
      </c>
      <c r="D236" s="9"/>
      <c r="E236" s="9"/>
      <c r="F236" s="9"/>
      <c r="G236" s="11"/>
      <c r="H236" s="9"/>
      <c r="I236" s="22"/>
      <c r="J236" s="24"/>
      <c r="K23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36" s="22"/>
    </row>
    <row r="237" spans="1:12" x14ac:dyDescent="0.25">
      <c r="A237" s="8"/>
      <c r="B237" s="1" t="str">
        <f>IF(Tabela22[[#This Row],[Data]]="","",PROPER(TEXT(Tabela22[[#This Row],[Data]],"mmm")))</f>
        <v/>
      </c>
      <c r="C237" s="1" t="str">
        <f>IF(Tabela22[[#This Row],[Data]]="","",PROPER(TEXT(Tabela22[[#This Row],[Data]],"ddd")))</f>
        <v/>
      </c>
      <c r="D237" s="9"/>
      <c r="E237" s="9"/>
      <c r="F237" s="9"/>
      <c r="G237" s="11"/>
      <c r="H237" s="9"/>
      <c r="I237" s="22"/>
      <c r="J237" s="24"/>
      <c r="K23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37" s="22"/>
    </row>
    <row r="238" spans="1:12" x14ac:dyDescent="0.25">
      <c r="A238" s="8"/>
      <c r="B238" s="1" t="str">
        <f>IF(Tabela22[[#This Row],[Data]]="","",PROPER(TEXT(Tabela22[[#This Row],[Data]],"mmm")))</f>
        <v/>
      </c>
      <c r="C238" s="1" t="str">
        <f>IF(Tabela22[[#This Row],[Data]]="","",PROPER(TEXT(Tabela22[[#This Row],[Data]],"ddd")))</f>
        <v/>
      </c>
      <c r="D238" s="9"/>
      <c r="E238" s="9"/>
      <c r="F238" s="9"/>
      <c r="G238" s="10"/>
      <c r="H238" s="9"/>
      <c r="I238" s="22"/>
      <c r="J238" s="24"/>
      <c r="K23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38" s="22"/>
    </row>
    <row r="239" spans="1:12" x14ac:dyDescent="0.25">
      <c r="A239" s="8"/>
      <c r="B239" s="1" t="str">
        <f>IF(Tabela22[[#This Row],[Data]]="","",PROPER(TEXT(Tabela22[[#This Row],[Data]],"mmm")))</f>
        <v/>
      </c>
      <c r="C239" s="1" t="str">
        <f>IF(Tabela22[[#This Row],[Data]]="","",PROPER(TEXT(Tabela22[[#This Row],[Data]],"ddd")))</f>
        <v/>
      </c>
      <c r="D239" s="9"/>
      <c r="E239" s="9"/>
      <c r="F239" s="9"/>
      <c r="G239" s="11"/>
      <c r="H239" s="9"/>
      <c r="I239" s="22"/>
      <c r="J239" s="24"/>
      <c r="K23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39" s="22"/>
    </row>
    <row r="240" spans="1:12" x14ac:dyDescent="0.25">
      <c r="A240" s="8"/>
      <c r="B240" s="1" t="str">
        <f>IF(Tabela22[[#This Row],[Data]]="","",PROPER(TEXT(Tabela22[[#This Row],[Data]],"mmm")))</f>
        <v/>
      </c>
      <c r="C240" s="1" t="str">
        <f>IF(Tabela22[[#This Row],[Data]]="","",PROPER(TEXT(Tabela22[[#This Row],[Data]],"ddd")))</f>
        <v/>
      </c>
      <c r="D240" s="9"/>
      <c r="E240" s="9"/>
      <c r="F240" s="9"/>
      <c r="G240" s="11"/>
      <c r="H240" s="9"/>
      <c r="I240" s="22"/>
      <c r="J240" s="24"/>
      <c r="K24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40" s="22"/>
    </row>
    <row r="241" spans="1:12" x14ac:dyDescent="0.25">
      <c r="A241" s="8"/>
      <c r="B241" s="1" t="str">
        <f>IF(Tabela22[[#This Row],[Data]]="","",PROPER(TEXT(Tabela22[[#This Row],[Data]],"mmm")))</f>
        <v/>
      </c>
      <c r="C241" s="1" t="str">
        <f>IF(Tabela22[[#This Row],[Data]]="","",PROPER(TEXT(Tabela22[[#This Row],[Data]],"ddd")))</f>
        <v/>
      </c>
      <c r="D241" s="9"/>
      <c r="E241" s="9"/>
      <c r="F241" s="9"/>
      <c r="G241" s="11"/>
      <c r="H241" s="9"/>
      <c r="I241" s="22"/>
      <c r="J241" s="24"/>
      <c r="K24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41" s="22"/>
    </row>
    <row r="242" spans="1:12" x14ac:dyDescent="0.25">
      <c r="A242" s="8"/>
      <c r="B242" s="1" t="str">
        <f>IF(Tabela22[[#This Row],[Data]]="","",PROPER(TEXT(Tabela22[[#This Row],[Data]],"mmm")))</f>
        <v/>
      </c>
      <c r="C242" s="1" t="str">
        <f>IF(Tabela22[[#This Row],[Data]]="","",PROPER(TEXT(Tabela22[[#This Row],[Data]],"ddd")))</f>
        <v/>
      </c>
      <c r="D242" s="9"/>
      <c r="E242" s="9"/>
      <c r="F242" s="9"/>
      <c r="G242" s="11"/>
      <c r="H242" s="9"/>
      <c r="I242" s="22"/>
      <c r="J242" s="24"/>
      <c r="K24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42" s="22"/>
    </row>
    <row r="243" spans="1:12" x14ac:dyDescent="0.25">
      <c r="A243" s="8"/>
      <c r="B243" s="1" t="str">
        <f>IF(Tabela22[[#This Row],[Data]]="","",PROPER(TEXT(Tabela22[[#This Row],[Data]],"mmm")))</f>
        <v/>
      </c>
      <c r="C243" s="1" t="str">
        <f>IF(Tabela22[[#This Row],[Data]]="","",PROPER(TEXT(Tabela22[[#This Row],[Data]],"ddd")))</f>
        <v/>
      </c>
      <c r="D243" s="9"/>
      <c r="E243" s="9"/>
      <c r="F243" s="9"/>
      <c r="G243" s="11"/>
      <c r="H243" s="9"/>
      <c r="I243" s="22"/>
      <c r="J243" s="24"/>
      <c r="K24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43" s="22"/>
    </row>
    <row r="244" spans="1:12" x14ac:dyDescent="0.25">
      <c r="A244" s="8"/>
      <c r="B244" s="1" t="str">
        <f>IF(Tabela22[[#This Row],[Data]]="","",PROPER(TEXT(Tabela22[[#This Row],[Data]],"mmm")))</f>
        <v/>
      </c>
      <c r="C244" s="1" t="str">
        <f>IF(Tabela22[[#This Row],[Data]]="","",PROPER(TEXT(Tabela22[[#This Row],[Data]],"ddd")))</f>
        <v/>
      </c>
      <c r="D244" s="9"/>
      <c r="E244" s="9"/>
      <c r="F244" s="9"/>
      <c r="G244" s="10"/>
      <c r="H244" s="9"/>
      <c r="I244" s="22"/>
      <c r="J244" s="24"/>
      <c r="K24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44" s="22"/>
    </row>
    <row r="245" spans="1:12" x14ac:dyDescent="0.25">
      <c r="A245" s="8"/>
      <c r="B245" s="1" t="str">
        <f>IF(Tabela22[[#This Row],[Data]]="","",PROPER(TEXT(Tabela22[[#This Row],[Data]],"mmm")))</f>
        <v/>
      </c>
      <c r="C245" s="1" t="str">
        <f>IF(Tabela22[[#This Row],[Data]]="","",PROPER(TEXT(Tabela22[[#This Row],[Data]],"ddd")))</f>
        <v/>
      </c>
      <c r="D245" s="9"/>
      <c r="E245" s="9"/>
      <c r="F245" s="9"/>
      <c r="G245" s="11"/>
      <c r="H245" s="9"/>
      <c r="I245" s="22"/>
      <c r="J245" s="24"/>
      <c r="K24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45" s="22"/>
    </row>
    <row r="246" spans="1:12" x14ac:dyDescent="0.25">
      <c r="A246" s="8"/>
      <c r="B246" s="1" t="str">
        <f>IF(Tabela22[[#This Row],[Data]]="","",PROPER(TEXT(Tabela22[[#This Row],[Data]],"mmm")))</f>
        <v/>
      </c>
      <c r="C246" s="1" t="str">
        <f>IF(Tabela22[[#This Row],[Data]]="","",PROPER(TEXT(Tabela22[[#This Row],[Data]],"ddd")))</f>
        <v/>
      </c>
      <c r="D246" s="9"/>
      <c r="E246" s="9"/>
      <c r="F246" s="9"/>
      <c r="G246" s="11"/>
      <c r="H246" s="9"/>
      <c r="I246" s="22"/>
      <c r="J246" s="24"/>
      <c r="K24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46" s="22"/>
    </row>
    <row r="247" spans="1:12" x14ac:dyDescent="0.25">
      <c r="A247" s="8"/>
      <c r="B247" s="1" t="str">
        <f>IF(Tabela22[[#This Row],[Data]]="","",PROPER(TEXT(Tabela22[[#This Row],[Data]],"mmm")))</f>
        <v/>
      </c>
      <c r="C247" s="1" t="str">
        <f>IF(Tabela22[[#This Row],[Data]]="","",PROPER(TEXT(Tabela22[[#This Row],[Data]],"ddd")))</f>
        <v/>
      </c>
      <c r="D247" s="9"/>
      <c r="E247" s="9"/>
      <c r="F247" s="9"/>
      <c r="G247" s="11"/>
      <c r="H247" s="9"/>
      <c r="I247" s="22"/>
      <c r="J247" s="24"/>
      <c r="K24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47" s="22"/>
    </row>
    <row r="248" spans="1:12" x14ac:dyDescent="0.25">
      <c r="A248" s="8"/>
      <c r="B248" s="1" t="str">
        <f>IF(Tabela22[[#This Row],[Data]]="","",PROPER(TEXT(Tabela22[[#This Row],[Data]],"mmm")))</f>
        <v/>
      </c>
      <c r="C248" s="1" t="str">
        <f>IF(Tabela22[[#This Row],[Data]]="","",PROPER(TEXT(Tabela22[[#This Row],[Data]],"ddd")))</f>
        <v/>
      </c>
      <c r="D248" s="9"/>
      <c r="E248" s="9"/>
      <c r="F248" s="9"/>
      <c r="G248" s="11"/>
      <c r="H248" s="9"/>
      <c r="I248" s="22"/>
      <c r="J248" s="24"/>
      <c r="K24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48" s="22"/>
    </row>
    <row r="249" spans="1:12" x14ac:dyDescent="0.25">
      <c r="A249" s="8"/>
      <c r="B249" s="1" t="str">
        <f>IF(Tabela22[[#This Row],[Data]]="","",PROPER(TEXT(Tabela22[[#This Row],[Data]],"mmm")))</f>
        <v/>
      </c>
      <c r="C249" s="1" t="str">
        <f>IF(Tabela22[[#This Row],[Data]]="","",PROPER(TEXT(Tabela22[[#This Row],[Data]],"ddd")))</f>
        <v/>
      </c>
      <c r="D249" s="9"/>
      <c r="E249" s="9"/>
      <c r="F249" s="9"/>
      <c r="G249" s="11"/>
      <c r="H249" s="9"/>
      <c r="I249" s="22"/>
      <c r="J249" s="24"/>
      <c r="K24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49" s="22"/>
    </row>
    <row r="250" spans="1:12" x14ac:dyDescent="0.25">
      <c r="A250" s="8"/>
      <c r="B250" s="1" t="str">
        <f>IF(Tabela22[[#This Row],[Data]]="","",PROPER(TEXT(Tabela22[[#This Row],[Data]],"mmm")))</f>
        <v/>
      </c>
      <c r="C250" s="1" t="str">
        <f>IF(Tabela22[[#This Row],[Data]]="","",PROPER(TEXT(Tabela22[[#This Row],[Data]],"ddd")))</f>
        <v/>
      </c>
      <c r="D250" s="9"/>
      <c r="E250" s="9"/>
      <c r="F250" s="9"/>
      <c r="G250" s="10"/>
      <c r="H250" s="9"/>
      <c r="I250" s="22"/>
      <c r="J250" s="24"/>
      <c r="K25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50" s="22"/>
    </row>
    <row r="251" spans="1:12" x14ac:dyDescent="0.25">
      <c r="A251" s="8"/>
      <c r="B251" s="1" t="str">
        <f>IF(Tabela22[[#This Row],[Data]]="","",PROPER(TEXT(Tabela22[[#This Row],[Data]],"mmm")))</f>
        <v/>
      </c>
      <c r="C251" s="1" t="str">
        <f>IF(Tabela22[[#This Row],[Data]]="","",PROPER(TEXT(Tabela22[[#This Row],[Data]],"ddd")))</f>
        <v/>
      </c>
      <c r="D251" s="9"/>
      <c r="E251" s="9"/>
      <c r="F251" s="9"/>
      <c r="G251" s="11"/>
      <c r="H251" s="9"/>
      <c r="I251" s="22"/>
      <c r="J251" s="24"/>
      <c r="K25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51" s="22"/>
    </row>
    <row r="252" spans="1:12" x14ac:dyDescent="0.25">
      <c r="A252" s="8"/>
      <c r="B252" s="1" t="str">
        <f>IF(Tabela22[[#This Row],[Data]]="","",PROPER(TEXT(Tabela22[[#This Row],[Data]],"mmm")))</f>
        <v/>
      </c>
      <c r="C252" s="1" t="str">
        <f>IF(Tabela22[[#This Row],[Data]]="","",PROPER(TEXT(Tabela22[[#This Row],[Data]],"ddd")))</f>
        <v/>
      </c>
      <c r="D252" s="9"/>
      <c r="E252" s="9"/>
      <c r="F252" s="9"/>
      <c r="G252" s="11"/>
      <c r="H252" s="9"/>
      <c r="I252" s="22"/>
      <c r="J252" s="24"/>
      <c r="K25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52" s="22"/>
    </row>
    <row r="253" spans="1:12" x14ac:dyDescent="0.25">
      <c r="A253" s="8"/>
      <c r="B253" s="1" t="str">
        <f>IF(Tabela22[[#This Row],[Data]]="","",PROPER(TEXT(Tabela22[[#This Row],[Data]],"mmm")))</f>
        <v/>
      </c>
      <c r="C253" s="1" t="str">
        <f>IF(Tabela22[[#This Row],[Data]]="","",PROPER(TEXT(Tabela22[[#This Row],[Data]],"ddd")))</f>
        <v/>
      </c>
      <c r="D253" s="9"/>
      <c r="E253" s="9"/>
      <c r="F253" s="9"/>
      <c r="G253" s="11"/>
      <c r="H253" s="9"/>
      <c r="I253" s="22"/>
      <c r="J253" s="24"/>
      <c r="K25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53" s="22"/>
    </row>
    <row r="254" spans="1:12" x14ac:dyDescent="0.25">
      <c r="A254" s="8"/>
      <c r="B254" s="1" t="str">
        <f>IF(Tabela22[[#This Row],[Data]]="","",PROPER(TEXT(Tabela22[[#This Row],[Data]],"mmm")))</f>
        <v/>
      </c>
      <c r="C254" s="1" t="str">
        <f>IF(Tabela22[[#This Row],[Data]]="","",PROPER(TEXT(Tabela22[[#This Row],[Data]],"ddd")))</f>
        <v/>
      </c>
      <c r="D254" s="9"/>
      <c r="E254" s="9"/>
      <c r="F254" s="9"/>
      <c r="G254" s="11"/>
      <c r="H254" s="9"/>
      <c r="I254" s="22"/>
      <c r="J254" s="24"/>
      <c r="K25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54" s="22"/>
    </row>
    <row r="255" spans="1:12" x14ac:dyDescent="0.25">
      <c r="A255" s="8"/>
      <c r="B255" s="1" t="str">
        <f>IF(Tabela22[[#This Row],[Data]]="","",PROPER(TEXT(Tabela22[[#This Row],[Data]],"mmm")))</f>
        <v/>
      </c>
      <c r="C255" s="1" t="str">
        <f>IF(Tabela22[[#This Row],[Data]]="","",PROPER(TEXT(Tabela22[[#This Row],[Data]],"ddd")))</f>
        <v/>
      </c>
      <c r="D255" s="9"/>
      <c r="E255" s="9"/>
      <c r="F255" s="9"/>
      <c r="G255" s="11"/>
      <c r="H255" s="9"/>
      <c r="I255" s="22"/>
      <c r="J255" s="24"/>
      <c r="K25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55" s="22"/>
    </row>
    <row r="256" spans="1:12" x14ac:dyDescent="0.25">
      <c r="A256" s="8"/>
      <c r="B256" s="1" t="str">
        <f>IF(Tabela22[[#This Row],[Data]]="","",PROPER(TEXT(Tabela22[[#This Row],[Data]],"mmm")))</f>
        <v/>
      </c>
      <c r="C256" s="1" t="str">
        <f>IF(Tabela22[[#This Row],[Data]]="","",PROPER(TEXT(Tabela22[[#This Row],[Data]],"ddd")))</f>
        <v/>
      </c>
      <c r="D256" s="9"/>
      <c r="E256" s="9"/>
      <c r="F256" s="9"/>
      <c r="G256" s="10"/>
      <c r="H256" s="9"/>
      <c r="I256" s="22"/>
      <c r="J256" s="24"/>
      <c r="K25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56" s="22"/>
    </row>
    <row r="257" spans="1:12" x14ac:dyDescent="0.25">
      <c r="A257" s="8"/>
      <c r="B257" s="1" t="str">
        <f>IF(Tabela22[[#This Row],[Data]]="","",PROPER(TEXT(Tabela22[[#This Row],[Data]],"mmm")))</f>
        <v/>
      </c>
      <c r="C257" s="1" t="str">
        <f>IF(Tabela22[[#This Row],[Data]]="","",PROPER(TEXT(Tabela22[[#This Row],[Data]],"ddd")))</f>
        <v/>
      </c>
      <c r="D257" s="9"/>
      <c r="E257" s="9"/>
      <c r="F257" s="9"/>
      <c r="G257" s="11"/>
      <c r="H257" s="9"/>
      <c r="I257" s="22"/>
      <c r="J257" s="24"/>
      <c r="K25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57" s="22"/>
    </row>
    <row r="258" spans="1:12" x14ac:dyDescent="0.25">
      <c r="A258" s="8"/>
      <c r="B258" s="1" t="str">
        <f>IF(Tabela22[[#This Row],[Data]]="","",PROPER(TEXT(Tabela22[[#This Row],[Data]],"mmm")))</f>
        <v/>
      </c>
      <c r="C258" s="1" t="str">
        <f>IF(Tabela22[[#This Row],[Data]]="","",PROPER(TEXT(Tabela22[[#This Row],[Data]],"ddd")))</f>
        <v/>
      </c>
      <c r="D258" s="9"/>
      <c r="E258" s="9"/>
      <c r="F258" s="9"/>
      <c r="G258" s="11"/>
      <c r="H258" s="9"/>
      <c r="I258" s="22"/>
      <c r="J258" s="24"/>
      <c r="K25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58" s="22"/>
    </row>
    <row r="259" spans="1:12" x14ac:dyDescent="0.25">
      <c r="A259" s="8"/>
      <c r="B259" s="1" t="str">
        <f>IF(Tabela22[[#This Row],[Data]]="","",PROPER(TEXT(Tabela22[[#This Row],[Data]],"mmm")))</f>
        <v/>
      </c>
      <c r="C259" s="1" t="str">
        <f>IF(Tabela22[[#This Row],[Data]]="","",PROPER(TEXT(Tabela22[[#This Row],[Data]],"ddd")))</f>
        <v/>
      </c>
      <c r="D259" s="9"/>
      <c r="E259" s="9"/>
      <c r="F259" s="9"/>
      <c r="G259" s="11"/>
      <c r="H259" s="9"/>
      <c r="I259" s="22"/>
      <c r="J259" s="24"/>
      <c r="K25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59" s="22"/>
    </row>
    <row r="260" spans="1:12" x14ac:dyDescent="0.25">
      <c r="A260" s="8"/>
      <c r="B260" s="1" t="str">
        <f>IF(Tabela22[[#This Row],[Data]]="","",PROPER(TEXT(Tabela22[[#This Row],[Data]],"mmm")))</f>
        <v/>
      </c>
      <c r="C260" s="1" t="str">
        <f>IF(Tabela22[[#This Row],[Data]]="","",PROPER(TEXT(Tabela22[[#This Row],[Data]],"ddd")))</f>
        <v/>
      </c>
      <c r="D260" s="9"/>
      <c r="E260" s="9"/>
      <c r="F260" s="9"/>
      <c r="G260" s="11"/>
      <c r="H260" s="9"/>
      <c r="I260" s="22"/>
      <c r="J260" s="24"/>
      <c r="K26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60" s="22"/>
    </row>
    <row r="261" spans="1:12" x14ac:dyDescent="0.25">
      <c r="A261" s="8"/>
      <c r="B261" s="1" t="str">
        <f>IF(Tabela22[[#This Row],[Data]]="","",PROPER(TEXT(Tabela22[[#This Row],[Data]],"mmm")))</f>
        <v/>
      </c>
      <c r="C261" s="1" t="str">
        <f>IF(Tabela22[[#This Row],[Data]]="","",PROPER(TEXT(Tabela22[[#This Row],[Data]],"ddd")))</f>
        <v/>
      </c>
      <c r="D261" s="9"/>
      <c r="E261" s="9"/>
      <c r="F261" s="9"/>
      <c r="G261" s="11"/>
      <c r="H261" s="9"/>
      <c r="I261" s="22"/>
      <c r="J261" s="24"/>
      <c r="K26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61" s="22"/>
    </row>
    <row r="262" spans="1:12" x14ac:dyDescent="0.25">
      <c r="A262" s="8"/>
      <c r="B262" s="1" t="str">
        <f>IF(Tabela22[[#This Row],[Data]]="","",PROPER(TEXT(Tabela22[[#This Row],[Data]],"mmm")))</f>
        <v/>
      </c>
      <c r="C262" s="1" t="str">
        <f>IF(Tabela22[[#This Row],[Data]]="","",PROPER(TEXT(Tabela22[[#This Row],[Data]],"ddd")))</f>
        <v/>
      </c>
      <c r="D262" s="9"/>
      <c r="E262" s="9"/>
      <c r="F262" s="9"/>
      <c r="G262" s="10"/>
      <c r="H262" s="9"/>
      <c r="I262" s="22"/>
      <c r="J262" s="24"/>
      <c r="K26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62" s="22"/>
    </row>
    <row r="263" spans="1:12" x14ac:dyDescent="0.25">
      <c r="A263" s="8"/>
      <c r="B263" s="1" t="str">
        <f>IF(Tabela22[[#This Row],[Data]]="","",PROPER(TEXT(Tabela22[[#This Row],[Data]],"mmm")))</f>
        <v/>
      </c>
      <c r="C263" s="1" t="str">
        <f>IF(Tabela22[[#This Row],[Data]]="","",PROPER(TEXT(Tabela22[[#This Row],[Data]],"ddd")))</f>
        <v/>
      </c>
      <c r="D263" s="9"/>
      <c r="E263" s="9"/>
      <c r="F263" s="9"/>
      <c r="G263" s="11"/>
      <c r="H263" s="9"/>
      <c r="I263" s="22"/>
      <c r="J263" s="24"/>
      <c r="K26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63" s="22"/>
    </row>
    <row r="264" spans="1:12" x14ac:dyDescent="0.25">
      <c r="A264" s="8"/>
      <c r="B264" s="1" t="str">
        <f>IF(Tabela22[[#This Row],[Data]]="","",PROPER(TEXT(Tabela22[[#This Row],[Data]],"mmm")))</f>
        <v/>
      </c>
      <c r="C264" s="1" t="str">
        <f>IF(Tabela22[[#This Row],[Data]]="","",PROPER(TEXT(Tabela22[[#This Row],[Data]],"ddd")))</f>
        <v/>
      </c>
      <c r="D264" s="9"/>
      <c r="E264" s="9"/>
      <c r="F264" s="9"/>
      <c r="G264" s="11"/>
      <c r="H264" s="9"/>
      <c r="I264" s="22"/>
      <c r="J264" s="24"/>
      <c r="K26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64" s="22"/>
    </row>
    <row r="265" spans="1:12" x14ac:dyDescent="0.25">
      <c r="A265" s="8"/>
      <c r="B265" s="1" t="str">
        <f>IF(Tabela22[[#This Row],[Data]]="","",PROPER(TEXT(Tabela22[[#This Row],[Data]],"mmm")))</f>
        <v/>
      </c>
      <c r="C265" s="1" t="str">
        <f>IF(Tabela22[[#This Row],[Data]]="","",PROPER(TEXT(Tabela22[[#This Row],[Data]],"ddd")))</f>
        <v/>
      </c>
      <c r="D265" s="9"/>
      <c r="E265" s="9"/>
      <c r="F265" s="9"/>
      <c r="G265" s="11"/>
      <c r="H265" s="9"/>
      <c r="I265" s="22"/>
      <c r="J265" s="24"/>
      <c r="K26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65" s="22"/>
    </row>
    <row r="266" spans="1:12" x14ac:dyDescent="0.25">
      <c r="A266" s="8"/>
      <c r="B266" s="1" t="str">
        <f>IF(Tabela22[[#This Row],[Data]]="","",PROPER(TEXT(Tabela22[[#This Row],[Data]],"mmm")))</f>
        <v/>
      </c>
      <c r="C266" s="1" t="str">
        <f>IF(Tabela22[[#This Row],[Data]]="","",PROPER(TEXT(Tabela22[[#This Row],[Data]],"ddd")))</f>
        <v/>
      </c>
      <c r="D266" s="9"/>
      <c r="E266" s="9"/>
      <c r="F266" s="9"/>
      <c r="G266" s="11"/>
      <c r="H266" s="9"/>
      <c r="I266" s="22"/>
      <c r="J266" s="24"/>
      <c r="K26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66" s="22"/>
    </row>
    <row r="267" spans="1:12" x14ac:dyDescent="0.25">
      <c r="A267" s="8"/>
      <c r="B267" s="1" t="str">
        <f>IF(Tabela22[[#This Row],[Data]]="","",PROPER(TEXT(Tabela22[[#This Row],[Data]],"mmm")))</f>
        <v/>
      </c>
      <c r="C267" s="1" t="str">
        <f>IF(Tabela22[[#This Row],[Data]]="","",PROPER(TEXT(Tabela22[[#This Row],[Data]],"ddd")))</f>
        <v/>
      </c>
      <c r="D267" s="9"/>
      <c r="E267" s="9"/>
      <c r="F267" s="9"/>
      <c r="G267" s="11"/>
      <c r="H267" s="9"/>
      <c r="I267" s="22"/>
      <c r="J267" s="24"/>
      <c r="K26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67" s="22"/>
    </row>
    <row r="268" spans="1:12" x14ac:dyDescent="0.25">
      <c r="A268" s="8"/>
      <c r="B268" s="1" t="str">
        <f>IF(Tabela22[[#This Row],[Data]]="","",PROPER(TEXT(Tabela22[[#This Row],[Data]],"mmm")))</f>
        <v/>
      </c>
      <c r="C268" s="1" t="str">
        <f>IF(Tabela22[[#This Row],[Data]]="","",PROPER(TEXT(Tabela22[[#This Row],[Data]],"ddd")))</f>
        <v/>
      </c>
      <c r="D268" s="9"/>
      <c r="E268" s="9"/>
      <c r="F268" s="9"/>
      <c r="G268" s="10"/>
      <c r="H268" s="9"/>
      <c r="I268" s="22"/>
      <c r="J268" s="24"/>
      <c r="K26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68" s="22"/>
    </row>
    <row r="269" spans="1:12" x14ac:dyDescent="0.25">
      <c r="A269" s="8"/>
      <c r="B269" s="1" t="str">
        <f>IF(Tabela22[[#This Row],[Data]]="","",PROPER(TEXT(Tabela22[[#This Row],[Data]],"mmm")))</f>
        <v/>
      </c>
      <c r="C269" s="1" t="str">
        <f>IF(Tabela22[[#This Row],[Data]]="","",PROPER(TEXT(Tabela22[[#This Row],[Data]],"ddd")))</f>
        <v/>
      </c>
      <c r="D269" s="9"/>
      <c r="E269" s="9"/>
      <c r="F269" s="9"/>
      <c r="G269" s="11"/>
      <c r="H269" s="9"/>
      <c r="I269" s="22"/>
      <c r="J269" s="24"/>
      <c r="K26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69" s="22"/>
    </row>
    <row r="270" spans="1:12" x14ac:dyDescent="0.25">
      <c r="A270" s="8"/>
      <c r="B270" s="1" t="str">
        <f>IF(Tabela22[[#This Row],[Data]]="","",PROPER(TEXT(Tabela22[[#This Row],[Data]],"mmm")))</f>
        <v/>
      </c>
      <c r="C270" s="1" t="str">
        <f>IF(Tabela22[[#This Row],[Data]]="","",PROPER(TEXT(Tabela22[[#This Row],[Data]],"ddd")))</f>
        <v/>
      </c>
      <c r="D270" s="9"/>
      <c r="E270" s="9"/>
      <c r="F270" s="9"/>
      <c r="G270" s="11"/>
      <c r="H270" s="9"/>
      <c r="I270" s="22"/>
      <c r="J270" s="24"/>
      <c r="K27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70" s="22"/>
    </row>
    <row r="271" spans="1:12" x14ac:dyDescent="0.25">
      <c r="A271" s="8"/>
      <c r="B271" s="1" t="str">
        <f>IF(Tabela22[[#This Row],[Data]]="","",PROPER(TEXT(Tabela22[[#This Row],[Data]],"mmm")))</f>
        <v/>
      </c>
      <c r="C271" s="1" t="str">
        <f>IF(Tabela22[[#This Row],[Data]]="","",PROPER(TEXT(Tabela22[[#This Row],[Data]],"ddd")))</f>
        <v/>
      </c>
      <c r="D271" s="9"/>
      <c r="E271" s="9"/>
      <c r="F271" s="9"/>
      <c r="G271" s="11"/>
      <c r="H271" s="9"/>
      <c r="I271" s="22"/>
      <c r="J271" s="24"/>
      <c r="K27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71" s="22"/>
    </row>
    <row r="272" spans="1:12" x14ac:dyDescent="0.25">
      <c r="A272" s="8"/>
      <c r="B272" s="1" t="str">
        <f>IF(Tabela22[[#This Row],[Data]]="","",PROPER(TEXT(Tabela22[[#This Row],[Data]],"mmm")))</f>
        <v/>
      </c>
      <c r="C272" s="1" t="str">
        <f>IF(Tabela22[[#This Row],[Data]]="","",PROPER(TEXT(Tabela22[[#This Row],[Data]],"ddd")))</f>
        <v/>
      </c>
      <c r="D272" s="9"/>
      <c r="E272" s="9"/>
      <c r="F272" s="9"/>
      <c r="G272" s="11"/>
      <c r="H272" s="9"/>
      <c r="I272" s="22"/>
      <c r="J272" s="24"/>
      <c r="K27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72" s="22"/>
    </row>
    <row r="273" spans="1:12" x14ac:dyDescent="0.25">
      <c r="A273" s="8"/>
      <c r="B273" s="1" t="str">
        <f>IF(Tabela22[[#This Row],[Data]]="","",PROPER(TEXT(Tabela22[[#This Row],[Data]],"mmm")))</f>
        <v/>
      </c>
      <c r="C273" s="1" t="str">
        <f>IF(Tabela22[[#This Row],[Data]]="","",PROPER(TEXT(Tabela22[[#This Row],[Data]],"ddd")))</f>
        <v/>
      </c>
      <c r="D273" s="9"/>
      <c r="E273" s="9"/>
      <c r="F273" s="9"/>
      <c r="G273" s="11"/>
      <c r="H273" s="9"/>
      <c r="I273" s="22"/>
      <c r="J273" s="24"/>
      <c r="K27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73" s="22"/>
    </row>
    <row r="274" spans="1:12" x14ac:dyDescent="0.25">
      <c r="A274" s="8"/>
      <c r="B274" s="1" t="str">
        <f>IF(Tabela22[[#This Row],[Data]]="","",PROPER(TEXT(Tabela22[[#This Row],[Data]],"mmm")))</f>
        <v/>
      </c>
      <c r="C274" s="1" t="str">
        <f>IF(Tabela22[[#This Row],[Data]]="","",PROPER(TEXT(Tabela22[[#This Row],[Data]],"ddd")))</f>
        <v/>
      </c>
      <c r="D274" s="9"/>
      <c r="E274" s="9"/>
      <c r="F274" s="9"/>
      <c r="G274" s="10"/>
      <c r="H274" s="9"/>
      <c r="I274" s="22"/>
      <c r="J274" s="24"/>
      <c r="K27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74" s="22"/>
    </row>
    <row r="275" spans="1:12" x14ac:dyDescent="0.25">
      <c r="A275" s="8"/>
      <c r="B275" s="1" t="str">
        <f>IF(Tabela22[[#This Row],[Data]]="","",PROPER(TEXT(Tabela22[[#This Row],[Data]],"mmm")))</f>
        <v/>
      </c>
      <c r="C275" s="1" t="str">
        <f>IF(Tabela22[[#This Row],[Data]]="","",PROPER(TEXT(Tabela22[[#This Row],[Data]],"ddd")))</f>
        <v/>
      </c>
      <c r="D275" s="9"/>
      <c r="E275" s="9"/>
      <c r="F275" s="9"/>
      <c r="G275" s="11"/>
      <c r="H275" s="9"/>
      <c r="I275" s="22"/>
      <c r="J275" s="24"/>
      <c r="K27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75" s="22"/>
    </row>
    <row r="276" spans="1:12" x14ac:dyDescent="0.25">
      <c r="A276" s="8"/>
      <c r="B276" s="1" t="str">
        <f>IF(Tabela22[[#This Row],[Data]]="","",PROPER(TEXT(Tabela22[[#This Row],[Data]],"mmm")))</f>
        <v/>
      </c>
      <c r="C276" s="1" t="str">
        <f>IF(Tabela22[[#This Row],[Data]]="","",PROPER(TEXT(Tabela22[[#This Row],[Data]],"ddd")))</f>
        <v/>
      </c>
      <c r="D276" s="9"/>
      <c r="E276" s="9"/>
      <c r="F276" s="9"/>
      <c r="G276" s="11"/>
      <c r="H276" s="9"/>
      <c r="I276" s="22"/>
      <c r="J276" s="24"/>
      <c r="K27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76" s="22"/>
    </row>
    <row r="277" spans="1:12" x14ac:dyDescent="0.25">
      <c r="A277" s="8"/>
      <c r="B277" s="1" t="str">
        <f>IF(Tabela22[[#This Row],[Data]]="","",PROPER(TEXT(Tabela22[[#This Row],[Data]],"mmm")))</f>
        <v/>
      </c>
      <c r="C277" s="1" t="str">
        <f>IF(Tabela22[[#This Row],[Data]]="","",PROPER(TEXT(Tabela22[[#This Row],[Data]],"ddd")))</f>
        <v/>
      </c>
      <c r="D277" s="9"/>
      <c r="E277" s="9"/>
      <c r="F277" s="9"/>
      <c r="G277" s="11"/>
      <c r="H277" s="9"/>
      <c r="I277" s="22"/>
      <c r="J277" s="24"/>
      <c r="K27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77" s="22"/>
    </row>
    <row r="278" spans="1:12" x14ac:dyDescent="0.25">
      <c r="A278" s="8"/>
      <c r="B278" s="1" t="str">
        <f>IF(Tabela22[[#This Row],[Data]]="","",PROPER(TEXT(Tabela22[[#This Row],[Data]],"mmm")))</f>
        <v/>
      </c>
      <c r="C278" s="1" t="str">
        <f>IF(Tabela22[[#This Row],[Data]]="","",PROPER(TEXT(Tabela22[[#This Row],[Data]],"ddd")))</f>
        <v/>
      </c>
      <c r="D278" s="9"/>
      <c r="E278" s="9"/>
      <c r="F278" s="9"/>
      <c r="G278" s="11"/>
      <c r="H278" s="9"/>
      <c r="I278" s="22"/>
      <c r="J278" s="24"/>
      <c r="K27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78" s="22"/>
    </row>
    <row r="279" spans="1:12" x14ac:dyDescent="0.25">
      <c r="A279" s="8"/>
      <c r="B279" s="1" t="str">
        <f>IF(Tabela22[[#This Row],[Data]]="","",PROPER(TEXT(Tabela22[[#This Row],[Data]],"mmm")))</f>
        <v/>
      </c>
      <c r="C279" s="1" t="str">
        <f>IF(Tabela22[[#This Row],[Data]]="","",PROPER(TEXT(Tabela22[[#This Row],[Data]],"ddd")))</f>
        <v/>
      </c>
      <c r="D279" s="9"/>
      <c r="E279" s="9"/>
      <c r="F279" s="9"/>
      <c r="G279" s="11"/>
      <c r="H279" s="9"/>
      <c r="I279" s="22"/>
      <c r="J279" s="24"/>
      <c r="K27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79" s="22"/>
    </row>
    <row r="280" spans="1:12" x14ac:dyDescent="0.25">
      <c r="A280" s="8"/>
      <c r="B280" s="1" t="str">
        <f>IF(Tabela22[[#This Row],[Data]]="","",PROPER(TEXT(Tabela22[[#This Row],[Data]],"mmm")))</f>
        <v/>
      </c>
      <c r="C280" s="1" t="str">
        <f>IF(Tabela22[[#This Row],[Data]]="","",PROPER(TEXT(Tabela22[[#This Row],[Data]],"ddd")))</f>
        <v/>
      </c>
      <c r="D280" s="9"/>
      <c r="E280" s="9"/>
      <c r="F280" s="9"/>
      <c r="G280" s="10"/>
      <c r="H280" s="9"/>
      <c r="I280" s="22"/>
      <c r="J280" s="24"/>
      <c r="K28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80" s="22"/>
    </row>
    <row r="281" spans="1:12" x14ac:dyDescent="0.25">
      <c r="A281" s="8"/>
      <c r="B281" s="1" t="str">
        <f>IF(Tabela22[[#This Row],[Data]]="","",PROPER(TEXT(Tabela22[[#This Row],[Data]],"mmm")))</f>
        <v/>
      </c>
      <c r="C281" s="1" t="str">
        <f>IF(Tabela22[[#This Row],[Data]]="","",PROPER(TEXT(Tabela22[[#This Row],[Data]],"ddd")))</f>
        <v/>
      </c>
      <c r="D281" s="9"/>
      <c r="E281" s="9"/>
      <c r="F281" s="9"/>
      <c r="G281" s="11"/>
      <c r="H281" s="9"/>
      <c r="I281" s="22"/>
      <c r="J281" s="24"/>
      <c r="K28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81" s="22"/>
    </row>
    <row r="282" spans="1:12" x14ac:dyDescent="0.25">
      <c r="A282" s="8"/>
      <c r="B282" s="1" t="str">
        <f>IF(Tabela22[[#This Row],[Data]]="","",PROPER(TEXT(Tabela22[[#This Row],[Data]],"mmm")))</f>
        <v/>
      </c>
      <c r="C282" s="1" t="str">
        <f>IF(Tabela22[[#This Row],[Data]]="","",PROPER(TEXT(Tabela22[[#This Row],[Data]],"ddd")))</f>
        <v/>
      </c>
      <c r="D282" s="9"/>
      <c r="E282" s="9"/>
      <c r="F282" s="9"/>
      <c r="G282" s="11"/>
      <c r="H282" s="9"/>
      <c r="I282" s="22"/>
      <c r="J282" s="24"/>
      <c r="K28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82" s="22"/>
    </row>
    <row r="283" spans="1:12" x14ac:dyDescent="0.25">
      <c r="A283" s="8"/>
      <c r="B283" s="1" t="str">
        <f>IF(Tabela22[[#This Row],[Data]]="","",PROPER(TEXT(Tabela22[[#This Row],[Data]],"mmm")))</f>
        <v/>
      </c>
      <c r="C283" s="1" t="str">
        <f>IF(Tabela22[[#This Row],[Data]]="","",PROPER(TEXT(Tabela22[[#This Row],[Data]],"ddd")))</f>
        <v/>
      </c>
      <c r="D283" s="9"/>
      <c r="E283" s="9"/>
      <c r="F283" s="9"/>
      <c r="G283" s="11"/>
      <c r="H283" s="9"/>
      <c r="I283" s="22"/>
      <c r="J283" s="24"/>
      <c r="K28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83" s="22"/>
    </row>
    <row r="284" spans="1:12" x14ac:dyDescent="0.25">
      <c r="A284" s="8"/>
      <c r="B284" s="1" t="str">
        <f>IF(Tabela22[[#This Row],[Data]]="","",PROPER(TEXT(Tabela22[[#This Row],[Data]],"mmm")))</f>
        <v/>
      </c>
      <c r="C284" s="1" t="str">
        <f>IF(Tabela22[[#This Row],[Data]]="","",PROPER(TEXT(Tabela22[[#This Row],[Data]],"ddd")))</f>
        <v/>
      </c>
      <c r="D284" s="9"/>
      <c r="E284" s="9"/>
      <c r="F284" s="9"/>
      <c r="G284" s="11"/>
      <c r="H284" s="9"/>
      <c r="I284" s="22"/>
      <c r="J284" s="24"/>
      <c r="K28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84" s="22"/>
    </row>
    <row r="285" spans="1:12" x14ac:dyDescent="0.25">
      <c r="A285" s="8"/>
      <c r="B285" s="1" t="str">
        <f>IF(Tabela22[[#This Row],[Data]]="","",PROPER(TEXT(Tabela22[[#This Row],[Data]],"mmm")))</f>
        <v/>
      </c>
      <c r="C285" s="1" t="str">
        <f>IF(Tabela22[[#This Row],[Data]]="","",PROPER(TEXT(Tabela22[[#This Row],[Data]],"ddd")))</f>
        <v/>
      </c>
      <c r="D285" s="9"/>
      <c r="E285" s="9"/>
      <c r="F285" s="9"/>
      <c r="G285" s="11"/>
      <c r="H285" s="9"/>
      <c r="I285" s="22"/>
      <c r="J285" s="24"/>
      <c r="K28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85" s="22"/>
    </row>
    <row r="286" spans="1:12" x14ac:dyDescent="0.25">
      <c r="A286" s="8"/>
      <c r="B286" s="1" t="str">
        <f>IF(Tabela22[[#This Row],[Data]]="","",PROPER(TEXT(Tabela22[[#This Row],[Data]],"mmm")))</f>
        <v/>
      </c>
      <c r="C286" s="1" t="str">
        <f>IF(Tabela22[[#This Row],[Data]]="","",PROPER(TEXT(Tabela22[[#This Row],[Data]],"ddd")))</f>
        <v/>
      </c>
      <c r="D286" s="9"/>
      <c r="E286" s="9"/>
      <c r="F286" s="9"/>
      <c r="G286" s="10"/>
      <c r="H286" s="9"/>
      <c r="I286" s="22"/>
      <c r="J286" s="24"/>
      <c r="K28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86" s="22"/>
    </row>
    <row r="287" spans="1:12" x14ac:dyDescent="0.25">
      <c r="A287" s="8"/>
      <c r="B287" s="1" t="str">
        <f>IF(Tabela22[[#This Row],[Data]]="","",PROPER(TEXT(Tabela22[[#This Row],[Data]],"mmm")))</f>
        <v/>
      </c>
      <c r="C287" s="1" t="str">
        <f>IF(Tabela22[[#This Row],[Data]]="","",PROPER(TEXT(Tabela22[[#This Row],[Data]],"ddd")))</f>
        <v/>
      </c>
      <c r="D287" s="9"/>
      <c r="E287" s="9"/>
      <c r="F287" s="9"/>
      <c r="G287" s="11"/>
      <c r="H287" s="9"/>
      <c r="I287" s="22"/>
      <c r="J287" s="24"/>
      <c r="K28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87" s="22"/>
    </row>
    <row r="288" spans="1:12" x14ac:dyDescent="0.25">
      <c r="A288" s="8"/>
      <c r="B288" s="1" t="str">
        <f>IF(Tabela22[[#This Row],[Data]]="","",PROPER(TEXT(Tabela22[[#This Row],[Data]],"mmm")))</f>
        <v/>
      </c>
      <c r="C288" s="1" t="str">
        <f>IF(Tabela22[[#This Row],[Data]]="","",PROPER(TEXT(Tabela22[[#This Row],[Data]],"ddd")))</f>
        <v/>
      </c>
      <c r="D288" s="9"/>
      <c r="E288" s="9"/>
      <c r="F288" s="9"/>
      <c r="G288" s="11"/>
      <c r="H288" s="9"/>
      <c r="I288" s="22"/>
      <c r="J288" s="24"/>
      <c r="K28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88" s="22"/>
    </row>
    <row r="289" spans="1:12" x14ac:dyDescent="0.25">
      <c r="A289" s="8"/>
      <c r="B289" s="1" t="str">
        <f>IF(Tabela22[[#This Row],[Data]]="","",PROPER(TEXT(Tabela22[[#This Row],[Data]],"mmm")))</f>
        <v/>
      </c>
      <c r="C289" s="1" t="str">
        <f>IF(Tabela22[[#This Row],[Data]]="","",PROPER(TEXT(Tabela22[[#This Row],[Data]],"ddd")))</f>
        <v/>
      </c>
      <c r="D289" s="9"/>
      <c r="E289" s="9"/>
      <c r="F289" s="9"/>
      <c r="G289" s="11"/>
      <c r="H289" s="9"/>
      <c r="I289" s="22"/>
      <c r="J289" s="24"/>
      <c r="K28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89" s="22"/>
    </row>
    <row r="290" spans="1:12" x14ac:dyDescent="0.25">
      <c r="A290" s="8"/>
      <c r="B290" s="1" t="str">
        <f>IF(Tabela22[[#This Row],[Data]]="","",PROPER(TEXT(Tabela22[[#This Row],[Data]],"mmm")))</f>
        <v/>
      </c>
      <c r="C290" s="1" t="str">
        <f>IF(Tabela22[[#This Row],[Data]]="","",PROPER(TEXT(Tabela22[[#This Row],[Data]],"ddd")))</f>
        <v/>
      </c>
      <c r="D290" s="9"/>
      <c r="E290" s="9"/>
      <c r="F290" s="9"/>
      <c r="G290" s="11"/>
      <c r="H290" s="9"/>
      <c r="I290" s="22"/>
      <c r="J290" s="24"/>
      <c r="K29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90" s="22"/>
    </row>
    <row r="291" spans="1:12" x14ac:dyDescent="0.25">
      <c r="A291" s="8"/>
      <c r="B291" s="1" t="str">
        <f>IF(Tabela22[[#This Row],[Data]]="","",PROPER(TEXT(Tabela22[[#This Row],[Data]],"mmm")))</f>
        <v/>
      </c>
      <c r="C291" s="1" t="str">
        <f>IF(Tabela22[[#This Row],[Data]]="","",PROPER(TEXT(Tabela22[[#This Row],[Data]],"ddd")))</f>
        <v/>
      </c>
      <c r="D291" s="9"/>
      <c r="E291" s="9"/>
      <c r="F291" s="9"/>
      <c r="G291" s="11"/>
      <c r="H291" s="9"/>
      <c r="I291" s="22"/>
      <c r="J291" s="24"/>
      <c r="K29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91" s="22"/>
    </row>
    <row r="292" spans="1:12" x14ac:dyDescent="0.25">
      <c r="A292" s="8"/>
      <c r="B292" s="1" t="str">
        <f>IF(Tabela22[[#This Row],[Data]]="","",PROPER(TEXT(Tabela22[[#This Row],[Data]],"mmm")))</f>
        <v/>
      </c>
      <c r="C292" s="1" t="str">
        <f>IF(Tabela22[[#This Row],[Data]]="","",PROPER(TEXT(Tabela22[[#This Row],[Data]],"ddd")))</f>
        <v/>
      </c>
      <c r="D292" s="9"/>
      <c r="E292" s="9"/>
      <c r="F292" s="9"/>
      <c r="G292" s="10"/>
      <c r="H292" s="9"/>
      <c r="I292" s="22"/>
      <c r="J292" s="24"/>
      <c r="K29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92" s="22"/>
    </row>
    <row r="293" spans="1:12" x14ac:dyDescent="0.25">
      <c r="A293" s="8"/>
      <c r="B293" s="1" t="str">
        <f>IF(Tabela22[[#This Row],[Data]]="","",PROPER(TEXT(Tabela22[[#This Row],[Data]],"mmm")))</f>
        <v/>
      </c>
      <c r="C293" s="1" t="str">
        <f>IF(Tabela22[[#This Row],[Data]]="","",PROPER(TEXT(Tabela22[[#This Row],[Data]],"ddd")))</f>
        <v/>
      </c>
      <c r="D293" s="9"/>
      <c r="E293" s="9"/>
      <c r="F293" s="9"/>
      <c r="G293" s="11"/>
      <c r="H293" s="9"/>
      <c r="I293" s="22"/>
      <c r="J293" s="24"/>
      <c r="K29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93" s="22"/>
    </row>
    <row r="294" spans="1:12" x14ac:dyDescent="0.25">
      <c r="A294" s="8"/>
      <c r="B294" s="1" t="str">
        <f>IF(Tabela22[[#This Row],[Data]]="","",PROPER(TEXT(Tabela22[[#This Row],[Data]],"mmm")))</f>
        <v/>
      </c>
      <c r="C294" s="1" t="str">
        <f>IF(Tabela22[[#This Row],[Data]]="","",PROPER(TEXT(Tabela22[[#This Row],[Data]],"ddd")))</f>
        <v/>
      </c>
      <c r="D294" s="9"/>
      <c r="E294" s="9"/>
      <c r="F294" s="9"/>
      <c r="G294" s="11"/>
      <c r="H294" s="9"/>
      <c r="I294" s="22"/>
      <c r="J294" s="24"/>
      <c r="K29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94" s="22"/>
    </row>
    <row r="295" spans="1:12" x14ac:dyDescent="0.25">
      <c r="A295" s="8"/>
      <c r="B295" s="1" t="str">
        <f>IF(Tabela22[[#This Row],[Data]]="","",PROPER(TEXT(Tabela22[[#This Row],[Data]],"mmm")))</f>
        <v/>
      </c>
      <c r="C295" s="1" t="str">
        <f>IF(Tabela22[[#This Row],[Data]]="","",PROPER(TEXT(Tabela22[[#This Row],[Data]],"ddd")))</f>
        <v/>
      </c>
      <c r="D295" s="9"/>
      <c r="E295" s="9"/>
      <c r="F295" s="9"/>
      <c r="G295" s="11"/>
      <c r="H295" s="9"/>
      <c r="I295" s="22"/>
      <c r="J295" s="24"/>
      <c r="K29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95" s="22"/>
    </row>
    <row r="296" spans="1:12" x14ac:dyDescent="0.25">
      <c r="A296" s="8"/>
      <c r="B296" s="1" t="str">
        <f>IF(Tabela22[[#This Row],[Data]]="","",PROPER(TEXT(Tabela22[[#This Row],[Data]],"mmm")))</f>
        <v/>
      </c>
      <c r="C296" s="1" t="str">
        <f>IF(Tabela22[[#This Row],[Data]]="","",PROPER(TEXT(Tabela22[[#This Row],[Data]],"ddd")))</f>
        <v/>
      </c>
      <c r="D296" s="9"/>
      <c r="E296" s="9"/>
      <c r="F296" s="9"/>
      <c r="G296" s="11"/>
      <c r="H296" s="9"/>
      <c r="I296" s="22"/>
      <c r="J296" s="24"/>
      <c r="K29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96" s="22"/>
    </row>
    <row r="297" spans="1:12" x14ac:dyDescent="0.25">
      <c r="A297" s="8"/>
      <c r="B297" s="1" t="str">
        <f>IF(Tabela22[[#This Row],[Data]]="","",PROPER(TEXT(Tabela22[[#This Row],[Data]],"mmm")))</f>
        <v/>
      </c>
      <c r="C297" s="1" t="str">
        <f>IF(Tabela22[[#This Row],[Data]]="","",PROPER(TEXT(Tabela22[[#This Row],[Data]],"ddd")))</f>
        <v/>
      </c>
      <c r="D297" s="9"/>
      <c r="E297" s="9"/>
      <c r="F297" s="9"/>
      <c r="G297" s="11"/>
      <c r="H297" s="9"/>
      <c r="I297" s="22"/>
      <c r="J297" s="24"/>
      <c r="K29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97" s="22"/>
    </row>
    <row r="298" spans="1:12" x14ac:dyDescent="0.25">
      <c r="A298" s="8"/>
      <c r="B298" s="1" t="str">
        <f>IF(Tabela22[[#This Row],[Data]]="","",PROPER(TEXT(Tabela22[[#This Row],[Data]],"mmm")))</f>
        <v/>
      </c>
      <c r="C298" s="1" t="str">
        <f>IF(Tabela22[[#This Row],[Data]]="","",PROPER(TEXT(Tabela22[[#This Row],[Data]],"ddd")))</f>
        <v/>
      </c>
      <c r="D298" s="9"/>
      <c r="E298" s="9"/>
      <c r="F298" s="9"/>
      <c r="G298" s="10"/>
      <c r="H298" s="9"/>
      <c r="I298" s="22"/>
      <c r="J298" s="24"/>
      <c r="K29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98" s="22"/>
    </row>
    <row r="299" spans="1:12" x14ac:dyDescent="0.25">
      <c r="A299" s="8"/>
      <c r="B299" s="1" t="str">
        <f>IF(Tabela22[[#This Row],[Data]]="","",PROPER(TEXT(Tabela22[[#This Row],[Data]],"mmm")))</f>
        <v/>
      </c>
      <c r="C299" s="1" t="str">
        <f>IF(Tabela22[[#This Row],[Data]]="","",PROPER(TEXT(Tabela22[[#This Row],[Data]],"ddd")))</f>
        <v/>
      </c>
      <c r="D299" s="9"/>
      <c r="E299" s="9"/>
      <c r="F299" s="9"/>
      <c r="G299" s="11"/>
      <c r="H299" s="9"/>
      <c r="I299" s="22"/>
      <c r="J299" s="24"/>
      <c r="K29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299" s="22"/>
    </row>
    <row r="300" spans="1:12" x14ac:dyDescent="0.25">
      <c r="A300" s="8"/>
      <c r="B300" s="1" t="str">
        <f>IF(Tabela22[[#This Row],[Data]]="","",PROPER(TEXT(Tabela22[[#This Row],[Data]],"mmm")))</f>
        <v/>
      </c>
      <c r="C300" s="1" t="str">
        <f>IF(Tabela22[[#This Row],[Data]]="","",PROPER(TEXT(Tabela22[[#This Row],[Data]],"ddd")))</f>
        <v/>
      </c>
      <c r="D300" s="9"/>
      <c r="E300" s="9"/>
      <c r="F300" s="9"/>
      <c r="G300" s="11"/>
      <c r="H300" s="9"/>
      <c r="I300" s="22"/>
      <c r="J300" s="24"/>
      <c r="K30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00" s="22"/>
    </row>
    <row r="301" spans="1:12" x14ac:dyDescent="0.25">
      <c r="A301" s="8"/>
      <c r="B301" s="1" t="str">
        <f>IF(Tabela22[[#This Row],[Data]]="","",PROPER(TEXT(Tabela22[[#This Row],[Data]],"mmm")))</f>
        <v/>
      </c>
      <c r="C301" s="1" t="str">
        <f>IF(Tabela22[[#This Row],[Data]]="","",PROPER(TEXT(Tabela22[[#This Row],[Data]],"ddd")))</f>
        <v/>
      </c>
      <c r="D301" s="9"/>
      <c r="E301" s="9"/>
      <c r="F301" s="9"/>
      <c r="G301" s="11"/>
      <c r="H301" s="9"/>
      <c r="I301" s="22"/>
      <c r="J301" s="24"/>
      <c r="K30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01" s="22"/>
    </row>
    <row r="302" spans="1:12" x14ac:dyDescent="0.25">
      <c r="A302" s="8"/>
      <c r="B302" s="1" t="str">
        <f>IF(Tabela22[[#This Row],[Data]]="","",PROPER(TEXT(Tabela22[[#This Row],[Data]],"mmm")))</f>
        <v/>
      </c>
      <c r="C302" s="1" t="str">
        <f>IF(Tabela22[[#This Row],[Data]]="","",PROPER(TEXT(Tabela22[[#This Row],[Data]],"ddd")))</f>
        <v/>
      </c>
      <c r="D302" s="9"/>
      <c r="E302" s="9"/>
      <c r="F302" s="9"/>
      <c r="G302" s="11"/>
      <c r="H302" s="9"/>
      <c r="I302" s="22"/>
      <c r="J302" s="24"/>
      <c r="K30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02" s="22"/>
    </row>
    <row r="303" spans="1:12" x14ac:dyDescent="0.25">
      <c r="A303" s="8"/>
      <c r="B303" s="1" t="str">
        <f>IF(Tabela22[[#This Row],[Data]]="","",PROPER(TEXT(Tabela22[[#This Row],[Data]],"mmm")))</f>
        <v/>
      </c>
      <c r="C303" s="1" t="str">
        <f>IF(Tabela22[[#This Row],[Data]]="","",PROPER(TEXT(Tabela22[[#This Row],[Data]],"ddd")))</f>
        <v/>
      </c>
      <c r="D303" s="9"/>
      <c r="E303" s="9"/>
      <c r="F303" s="9"/>
      <c r="G303" s="11"/>
      <c r="H303" s="9"/>
      <c r="I303" s="22"/>
      <c r="J303" s="24"/>
      <c r="K30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03" s="22"/>
    </row>
    <row r="304" spans="1:12" x14ac:dyDescent="0.25">
      <c r="A304" s="8"/>
      <c r="B304" s="1" t="str">
        <f>IF(Tabela22[[#This Row],[Data]]="","",PROPER(TEXT(Tabela22[[#This Row],[Data]],"mmm")))</f>
        <v/>
      </c>
      <c r="C304" s="1" t="str">
        <f>IF(Tabela22[[#This Row],[Data]]="","",PROPER(TEXT(Tabela22[[#This Row],[Data]],"ddd")))</f>
        <v/>
      </c>
      <c r="D304" s="9"/>
      <c r="E304" s="9"/>
      <c r="F304" s="9"/>
      <c r="G304" s="10"/>
      <c r="H304" s="9"/>
      <c r="I304" s="22"/>
      <c r="J304" s="24"/>
      <c r="K30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04" s="22"/>
    </row>
    <row r="305" spans="1:12" x14ac:dyDescent="0.25">
      <c r="A305" s="8"/>
      <c r="B305" s="1" t="str">
        <f>IF(Tabela22[[#This Row],[Data]]="","",PROPER(TEXT(Tabela22[[#This Row],[Data]],"mmm")))</f>
        <v/>
      </c>
      <c r="C305" s="1" t="str">
        <f>IF(Tabela22[[#This Row],[Data]]="","",PROPER(TEXT(Tabela22[[#This Row],[Data]],"ddd")))</f>
        <v/>
      </c>
      <c r="D305" s="9"/>
      <c r="E305" s="9"/>
      <c r="F305" s="9"/>
      <c r="G305" s="11"/>
      <c r="H305" s="9"/>
      <c r="I305" s="22"/>
      <c r="J305" s="24"/>
      <c r="K30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05" s="22"/>
    </row>
    <row r="306" spans="1:12" x14ac:dyDescent="0.25">
      <c r="A306" s="8"/>
      <c r="B306" s="1" t="str">
        <f>IF(Tabela22[[#This Row],[Data]]="","",PROPER(TEXT(Tabela22[[#This Row],[Data]],"mmm")))</f>
        <v/>
      </c>
      <c r="C306" s="1" t="str">
        <f>IF(Tabela22[[#This Row],[Data]]="","",PROPER(TEXT(Tabela22[[#This Row],[Data]],"ddd")))</f>
        <v/>
      </c>
      <c r="D306" s="9"/>
      <c r="E306" s="9"/>
      <c r="F306" s="9"/>
      <c r="G306" s="11"/>
      <c r="H306" s="9"/>
      <c r="I306" s="22"/>
      <c r="J306" s="24"/>
      <c r="K30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06" s="22"/>
    </row>
    <row r="307" spans="1:12" x14ac:dyDescent="0.25">
      <c r="A307" s="8"/>
      <c r="B307" s="1" t="str">
        <f>IF(Tabela22[[#This Row],[Data]]="","",PROPER(TEXT(Tabela22[[#This Row],[Data]],"mmm")))</f>
        <v/>
      </c>
      <c r="C307" s="1" t="str">
        <f>IF(Tabela22[[#This Row],[Data]]="","",PROPER(TEXT(Tabela22[[#This Row],[Data]],"ddd")))</f>
        <v/>
      </c>
      <c r="D307" s="9"/>
      <c r="E307" s="9"/>
      <c r="F307" s="9"/>
      <c r="G307" s="11"/>
      <c r="H307" s="9"/>
      <c r="I307" s="22"/>
      <c r="J307" s="24"/>
      <c r="K30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07" s="22"/>
    </row>
    <row r="308" spans="1:12" x14ac:dyDescent="0.25">
      <c r="A308" s="8"/>
      <c r="B308" s="1" t="str">
        <f>IF(Tabela22[[#This Row],[Data]]="","",PROPER(TEXT(Tabela22[[#This Row],[Data]],"mmm")))</f>
        <v/>
      </c>
      <c r="C308" s="1" t="str">
        <f>IF(Tabela22[[#This Row],[Data]]="","",PROPER(TEXT(Tabela22[[#This Row],[Data]],"ddd")))</f>
        <v/>
      </c>
      <c r="D308" s="9"/>
      <c r="E308" s="9"/>
      <c r="F308" s="9"/>
      <c r="G308" s="11"/>
      <c r="H308" s="9"/>
      <c r="I308" s="22"/>
      <c r="J308" s="24"/>
      <c r="K30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08" s="22"/>
    </row>
    <row r="309" spans="1:12" x14ac:dyDescent="0.25">
      <c r="A309" s="8"/>
      <c r="B309" s="1" t="str">
        <f>IF(Tabela22[[#This Row],[Data]]="","",PROPER(TEXT(Tabela22[[#This Row],[Data]],"mmm")))</f>
        <v/>
      </c>
      <c r="C309" s="1" t="str">
        <f>IF(Tabela22[[#This Row],[Data]]="","",PROPER(TEXT(Tabela22[[#This Row],[Data]],"ddd")))</f>
        <v/>
      </c>
      <c r="D309" s="9"/>
      <c r="E309" s="9"/>
      <c r="F309" s="9"/>
      <c r="G309" s="11"/>
      <c r="H309" s="9"/>
      <c r="I309" s="22"/>
      <c r="J309" s="24"/>
      <c r="K30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09" s="22"/>
    </row>
    <row r="310" spans="1:12" x14ac:dyDescent="0.25">
      <c r="A310" s="8"/>
      <c r="B310" s="1" t="str">
        <f>IF(Tabela22[[#This Row],[Data]]="","",PROPER(TEXT(Tabela22[[#This Row],[Data]],"mmm")))</f>
        <v/>
      </c>
      <c r="C310" s="1" t="str">
        <f>IF(Tabela22[[#This Row],[Data]]="","",PROPER(TEXT(Tabela22[[#This Row],[Data]],"ddd")))</f>
        <v/>
      </c>
      <c r="D310" s="9"/>
      <c r="E310" s="9"/>
      <c r="F310" s="9"/>
      <c r="G310" s="10"/>
      <c r="H310" s="9"/>
      <c r="I310" s="22"/>
      <c r="J310" s="24"/>
      <c r="K31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10" s="22"/>
    </row>
    <row r="311" spans="1:12" x14ac:dyDescent="0.25">
      <c r="A311" s="8"/>
      <c r="B311" s="1" t="str">
        <f>IF(Tabela22[[#This Row],[Data]]="","",PROPER(TEXT(Tabela22[[#This Row],[Data]],"mmm")))</f>
        <v/>
      </c>
      <c r="C311" s="1" t="str">
        <f>IF(Tabela22[[#This Row],[Data]]="","",PROPER(TEXT(Tabela22[[#This Row],[Data]],"ddd")))</f>
        <v/>
      </c>
      <c r="D311" s="9"/>
      <c r="E311" s="9"/>
      <c r="F311" s="9"/>
      <c r="G311" s="11"/>
      <c r="H311" s="9"/>
      <c r="I311" s="22"/>
      <c r="J311" s="24"/>
      <c r="K31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11" s="22"/>
    </row>
    <row r="312" spans="1:12" x14ac:dyDescent="0.25">
      <c r="A312" s="8"/>
      <c r="B312" s="1" t="str">
        <f>IF(Tabela22[[#This Row],[Data]]="","",PROPER(TEXT(Tabela22[[#This Row],[Data]],"mmm")))</f>
        <v/>
      </c>
      <c r="C312" s="1" t="str">
        <f>IF(Tabela22[[#This Row],[Data]]="","",PROPER(TEXT(Tabela22[[#This Row],[Data]],"ddd")))</f>
        <v/>
      </c>
      <c r="D312" s="9"/>
      <c r="E312" s="9"/>
      <c r="F312" s="9"/>
      <c r="G312" s="11"/>
      <c r="H312" s="9"/>
      <c r="I312" s="22"/>
      <c r="J312" s="24"/>
      <c r="K31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12" s="22"/>
    </row>
    <row r="313" spans="1:12" x14ac:dyDescent="0.25">
      <c r="A313" s="8"/>
      <c r="B313" s="1" t="str">
        <f>IF(Tabela22[[#This Row],[Data]]="","",PROPER(TEXT(Tabela22[[#This Row],[Data]],"mmm")))</f>
        <v/>
      </c>
      <c r="C313" s="1" t="str">
        <f>IF(Tabela22[[#This Row],[Data]]="","",PROPER(TEXT(Tabela22[[#This Row],[Data]],"ddd")))</f>
        <v/>
      </c>
      <c r="D313" s="9"/>
      <c r="E313" s="9"/>
      <c r="F313" s="9"/>
      <c r="G313" s="11"/>
      <c r="H313" s="9"/>
      <c r="I313" s="22"/>
      <c r="J313" s="24"/>
      <c r="K31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13" s="22"/>
    </row>
    <row r="314" spans="1:12" x14ac:dyDescent="0.25">
      <c r="A314" s="8"/>
      <c r="B314" s="1" t="str">
        <f>IF(Tabela22[[#This Row],[Data]]="","",PROPER(TEXT(Tabela22[[#This Row],[Data]],"mmm")))</f>
        <v/>
      </c>
      <c r="C314" s="1" t="str">
        <f>IF(Tabela22[[#This Row],[Data]]="","",PROPER(TEXT(Tabela22[[#This Row],[Data]],"ddd")))</f>
        <v/>
      </c>
      <c r="D314" s="9"/>
      <c r="E314" s="9"/>
      <c r="F314" s="9"/>
      <c r="G314" s="11"/>
      <c r="H314" s="9"/>
      <c r="I314" s="22"/>
      <c r="J314" s="24"/>
      <c r="K31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14" s="22"/>
    </row>
    <row r="315" spans="1:12" x14ac:dyDescent="0.25">
      <c r="A315" s="8"/>
      <c r="B315" s="1" t="str">
        <f>IF(Tabela22[[#This Row],[Data]]="","",PROPER(TEXT(Tabela22[[#This Row],[Data]],"mmm")))</f>
        <v/>
      </c>
      <c r="C315" s="1" t="str">
        <f>IF(Tabela22[[#This Row],[Data]]="","",PROPER(TEXT(Tabela22[[#This Row],[Data]],"ddd")))</f>
        <v/>
      </c>
      <c r="D315" s="9"/>
      <c r="E315" s="9"/>
      <c r="F315" s="9"/>
      <c r="G315" s="11"/>
      <c r="H315" s="9"/>
      <c r="I315" s="22"/>
      <c r="J315" s="24"/>
      <c r="K31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15" s="22"/>
    </row>
    <row r="316" spans="1:12" x14ac:dyDescent="0.25">
      <c r="A316" s="8"/>
      <c r="B316" s="1" t="str">
        <f>IF(Tabela22[[#This Row],[Data]]="","",PROPER(TEXT(Tabela22[[#This Row],[Data]],"mmm")))</f>
        <v/>
      </c>
      <c r="C316" s="1" t="str">
        <f>IF(Tabela22[[#This Row],[Data]]="","",PROPER(TEXT(Tabela22[[#This Row],[Data]],"ddd")))</f>
        <v/>
      </c>
      <c r="D316" s="9"/>
      <c r="E316" s="9"/>
      <c r="F316" s="9"/>
      <c r="G316" s="10"/>
      <c r="H316" s="9"/>
      <c r="I316" s="22"/>
      <c r="J316" s="24"/>
      <c r="K31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16" s="22"/>
    </row>
    <row r="317" spans="1:12" x14ac:dyDescent="0.25">
      <c r="A317" s="8"/>
      <c r="B317" s="1" t="str">
        <f>IF(Tabela22[[#This Row],[Data]]="","",PROPER(TEXT(Tabela22[[#This Row],[Data]],"mmm")))</f>
        <v/>
      </c>
      <c r="C317" s="1" t="str">
        <f>IF(Tabela22[[#This Row],[Data]]="","",PROPER(TEXT(Tabela22[[#This Row],[Data]],"ddd")))</f>
        <v/>
      </c>
      <c r="D317" s="9"/>
      <c r="E317" s="9"/>
      <c r="F317" s="9"/>
      <c r="G317" s="11"/>
      <c r="H317" s="9"/>
      <c r="I317" s="22"/>
      <c r="J317" s="24"/>
      <c r="K31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17" s="22"/>
    </row>
    <row r="318" spans="1:12" x14ac:dyDescent="0.25">
      <c r="A318" s="8"/>
      <c r="B318" s="1" t="str">
        <f>IF(Tabela22[[#This Row],[Data]]="","",PROPER(TEXT(Tabela22[[#This Row],[Data]],"mmm")))</f>
        <v/>
      </c>
      <c r="C318" s="1" t="str">
        <f>IF(Tabela22[[#This Row],[Data]]="","",PROPER(TEXT(Tabela22[[#This Row],[Data]],"ddd")))</f>
        <v/>
      </c>
      <c r="D318" s="9"/>
      <c r="E318" s="9"/>
      <c r="F318" s="9"/>
      <c r="G318" s="11"/>
      <c r="H318" s="9"/>
      <c r="I318" s="22"/>
      <c r="J318" s="24"/>
      <c r="K31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18" s="22"/>
    </row>
    <row r="319" spans="1:12" x14ac:dyDescent="0.25">
      <c r="A319" s="8"/>
      <c r="B319" s="1" t="str">
        <f>IF(Tabela22[[#This Row],[Data]]="","",PROPER(TEXT(Tabela22[[#This Row],[Data]],"mmm")))</f>
        <v/>
      </c>
      <c r="C319" s="1" t="str">
        <f>IF(Tabela22[[#This Row],[Data]]="","",PROPER(TEXT(Tabela22[[#This Row],[Data]],"ddd")))</f>
        <v/>
      </c>
      <c r="D319" s="9"/>
      <c r="E319" s="9"/>
      <c r="F319" s="9"/>
      <c r="G319" s="11"/>
      <c r="H319" s="9"/>
      <c r="I319" s="22"/>
      <c r="J319" s="24"/>
      <c r="K31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19" s="22"/>
    </row>
    <row r="320" spans="1:12" x14ac:dyDescent="0.25">
      <c r="A320" s="8"/>
      <c r="B320" s="1" t="str">
        <f>IF(Tabela22[[#This Row],[Data]]="","",PROPER(TEXT(Tabela22[[#This Row],[Data]],"mmm")))</f>
        <v/>
      </c>
      <c r="C320" s="1" t="str">
        <f>IF(Tabela22[[#This Row],[Data]]="","",PROPER(TEXT(Tabela22[[#This Row],[Data]],"ddd")))</f>
        <v/>
      </c>
      <c r="D320" s="9"/>
      <c r="E320" s="9"/>
      <c r="F320" s="9"/>
      <c r="G320" s="11"/>
      <c r="H320" s="9"/>
      <c r="I320" s="22"/>
      <c r="J320" s="24"/>
      <c r="K32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20" s="22"/>
    </row>
    <row r="321" spans="1:12" x14ac:dyDescent="0.25">
      <c r="A321" s="8"/>
      <c r="B321" s="1" t="str">
        <f>IF(Tabela22[[#This Row],[Data]]="","",PROPER(TEXT(Tabela22[[#This Row],[Data]],"mmm")))</f>
        <v/>
      </c>
      <c r="C321" s="1" t="str">
        <f>IF(Tabela22[[#This Row],[Data]]="","",PROPER(TEXT(Tabela22[[#This Row],[Data]],"ddd")))</f>
        <v/>
      </c>
      <c r="D321" s="9"/>
      <c r="E321" s="9"/>
      <c r="F321" s="9"/>
      <c r="G321" s="11"/>
      <c r="H321" s="9"/>
      <c r="I321" s="22"/>
      <c r="J321" s="24"/>
      <c r="K32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21" s="22"/>
    </row>
    <row r="322" spans="1:12" x14ac:dyDescent="0.25">
      <c r="A322" s="8"/>
      <c r="B322" s="1" t="str">
        <f>IF(Tabela22[[#This Row],[Data]]="","",PROPER(TEXT(Tabela22[[#This Row],[Data]],"mmm")))</f>
        <v/>
      </c>
      <c r="C322" s="1" t="str">
        <f>IF(Tabela22[[#This Row],[Data]]="","",PROPER(TEXT(Tabela22[[#This Row],[Data]],"ddd")))</f>
        <v/>
      </c>
      <c r="D322" s="9"/>
      <c r="E322" s="9"/>
      <c r="F322" s="9"/>
      <c r="G322" s="10"/>
      <c r="H322" s="9"/>
      <c r="I322" s="22"/>
      <c r="J322" s="24"/>
      <c r="K32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22" s="22"/>
    </row>
    <row r="323" spans="1:12" x14ac:dyDescent="0.25">
      <c r="A323" s="8"/>
      <c r="B323" s="1" t="str">
        <f>IF(Tabela22[[#This Row],[Data]]="","",PROPER(TEXT(Tabela22[[#This Row],[Data]],"mmm")))</f>
        <v/>
      </c>
      <c r="C323" s="1" t="str">
        <f>IF(Tabela22[[#This Row],[Data]]="","",PROPER(TEXT(Tabela22[[#This Row],[Data]],"ddd")))</f>
        <v/>
      </c>
      <c r="D323" s="9"/>
      <c r="E323" s="9"/>
      <c r="F323" s="9"/>
      <c r="G323" s="11"/>
      <c r="H323" s="9"/>
      <c r="I323" s="22"/>
      <c r="J323" s="24"/>
      <c r="K32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23" s="22"/>
    </row>
    <row r="324" spans="1:12" x14ac:dyDescent="0.25">
      <c r="A324" s="8"/>
      <c r="B324" s="1" t="str">
        <f>IF(Tabela22[[#This Row],[Data]]="","",PROPER(TEXT(Tabela22[[#This Row],[Data]],"mmm")))</f>
        <v/>
      </c>
      <c r="C324" s="1" t="str">
        <f>IF(Tabela22[[#This Row],[Data]]="","",PROPER(TEXT(Tabela22[[#This Row],[Data]],"ddd")))</f>
        <v/>
      </c>
      <c r="D324" s="9"/>
      <c r="E324" s="9"/>
      <c r="F324" s="9"/>
      <c r="G324" s="11"/>
      <c r="H324" s="9"/>
      <c r="I324" s="22"/>
      <c r="J324" s="24"/>
      <c r="K32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24" s="22"/>
    </row>
    <row r="325" spans="1:12" x14ac:dyDescent="0.25">
      <c r="A325" s="8"/>
      <c r="B325" s="1" t="str">
        <f>IF(Tabela22[[#This Row],[Data]]="","",PROPER(TEXT(Tabela22[[#This Row],[Data]],"mmm")))</f>
        <v/>
      </c>
      <c r="C325" s="1" t="str">
        <f>IF(Tabela22[[#This Row],[Data]]="","",PROPER(TEXT(Tabela22[[#This Row],[Data]],"ddd")))</f>
        <v/>
      </c>
      <c r="D325" s="9"/>
      <c r="E325" s="9"/>
      <c r="F325" s="9"/>
      <c r="G325" s="11"/>
      <c r="H325" s="9"/>
      <c r="I325" s="22"/>
      <c r="J325" s="24"/>
      <c r="K32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25" s="22"/>
    </row>
    <row r="326" spans="1:12" x14ac:dyDescent="0.25">
      <c r="A326" s="8"/>
      <c r="B326" s="1" t="str">
        <f>IF(Tabela22[[#This Row],[Data]]="","",PROPER(TEXT(Tabela22[[#This Row],[Data]],"mmm")))</f>
        <v/>
      </c>
      <c r="C326" s="1" t="str">
        <f>IF(Tabela22[[#This Row],[Data]]="","",PROPER(TEXT(Tabela22[[#This Row],[Data]],"ddd")))</f>
        <v/>
      </c>
      <c r="D326" s="9"/>
      <c r="E326" s="9"/>
      <c r="F326" s="9"/>
      <c r="G326" s="11"/>
      <c r="H326" s="9"/>
      <c r="I326" s="22"/>
      <c r="J326" s="24"/>
      <c r="K32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26" s="22"/>
    </row>
    <row r="327" spans="1:12" x14ac:dyDescent="0.25">
      <c r="A327" s="8"/>
      <c r="B327" s="1" t="str">
        <f>IF(Tabela22[[#This Row],[Data]]="","",PROPER(TEXT(Tabela22[[#This Row],[Data]],"mmm")))</f>
        <v/>
      </c>
      <c r="C327" s="1" t="str">
        <f>IF(Tabela22[[#This Row],[Data]]="","",PROPER(TEXT(Tabela22[[#This Row],[Data]],"ddd")))</f>
        <v/>
      </c>
      <c r="D327" s="9"/>
      <c r="E327" s="9"/>
      <c r="F327" s="9"/>
      <c r="G327" s="11"/>
      <c r="H327" s="9"/>
      <c r="I327" s="22"/>
      <c r="J327" s="24"/>
      <c r="K32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27" s="22"/>
    </row>
    <row r="328" spans="1:12" x14ac:dyDescent="0.25">
      <c r="A328" s="8"/>
      <c r="B328" s="1" t="str">
        <f>IF(Tabela22[[#This Row],[Data]]="","",PROPER(TEXT(Tabela22[[#This Row],[Data]],"mmm")))</f>
        <v/>
      </c>
      <c r="C328" s="1" t="str">
        <f>IF(Tabela22[[#This Row],[Data]]="","",PROPER(TEXT(Tabela22[[#This Row],[Data]],"ddd")))</f>
        <v/>
      </c>
      <c r="D328" s="9"/>
      <c r="E328" s="9"/>
      <c r="F328" s="9"/>
      <c r="G328" s="10"/>
      <c r="H328" s="9"/>
      <c r="I328" s="22"/>
      <c r="J328" s="24"/>
      <c r="K32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28" s="22"/>
    </row>
    <row r="329" spans="1:12" x14ac:dyDescent="0.25">
      <c r="A329" s="8"/>
      <c r="B329" s="1" t="str">
        <f>IF(Tabela22[[#This Row],[Data]]="","",PROPER(TEXT(Tabela22[[#This Row],[Data]],"mmm")))</f>
        <v/>
      </c>
      <c r="C329" s="1" t="str">
        <f>IF(Tabela22[[#This Row],[Data]]="","",PROPER(TEXT(Tabela22[[#This Row],[Data]],"ddd")))</f>
        <v/>
      </c>
      <c r="D329" s="9"/>
      <c r="E329" s="9"/>
      <c r="F329" s="9"/>
      <c r="G329" s="11"/>
      <c r="H329" s="9"/>
      <c r="I329" s="22"/>
      <c r="J329" s="24"/>
      <c r="K32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29" s="22"/>
    </row>
    <row r="330" spans="1:12" x14ac:dyDescent="0.25">
      <c r="A330" s="8"/>
      <c r="B330" s="1" t="str">
        <f>IF(Tabela22[[#This Row],[Data]]="","",PROPER(TEXT(Tabela22[[#This Row],[Data]],"mmm")))</f>
        <v/>
      </c>
      <c r="C330" s="1" t="str">
        <f>IF(Tabela22[[#This Row],[Data]]="","",PROPER(TEXT(Tabela22[[#This Row],[Data]],"ddd")))</f>
        <v/>
      </c>
      <c r="D330" s="9"/>
      <c r="E330" s="9"/>
      <c r="F330" s="9"/>
      <c r="G330" s="11"/>
      <c r="H330" s="9"/>
      <c r="I330" s="22"/>
      <c r="J330" s="24"/>
      <c r="K33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30" s="22"/>
    </row>
    <row r="331" spans="1:12" x14ac:dyDescent="0.25">
      <c r="A331" s="8"/>
      <c r="B331" s="1" t="str">
        <f>IF(Tabela22[[#This Row],[Data]]="","",PROPER(TEXT(Tabela22[[#This Row],[Data]],"mmm")))</f>
        <v/>
      </c>
      <c r="C331" s="1" t="str">
        <f>IF(Tabela22[[#This Row],[Data]]="","",PROPER(TEXT(Tabela22[[#This Row],[Data]],"ddd")))</f>
        <v/>
      </c>
      <c r="D331" s="9"/>
      <c r="E331" s="9"/>
      <c r="F331" s="9"/>
      <c r="G331" s="11"/>
      <c r="H331" s="9"/>
      <c r="I331" s="22"/>
      <c r="J331" s="24"/>
      <c r="K33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31" s="22"/>
    </row>
    <row r="332" spans="1:12" x14ac:dyDescent="0.25">
      <c r="A332" s="8"/>
      <c r="B332" s="1" t="str">
        <f>IF(Tabela22[[#This Row],[Data]]="","",PROPER(TEXT(Tabela22[[#This Row],[Data]],"mmm")))</f>
        <v/>
      </c>
      <c r="C332" s="1" t="str">
        <f>IF(Tabela22[[#This Row],[Data]]="","",PROPER(TEXT(Tabela22[[#This Row],[Data]],"ddd")))</f>
        <v/>
      </c>
      <c r="D332" s="9"/>
      <c r="E332" s="9"/>
      <c r="F332" s="9"/>
      <c r="G332" s="11"/>
      <c r="H332" s="9"/>
      <c r="I332" s="22"/>
      <c r="J332" s="24"/>
      <c r="K33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32" s="22"/>
    </row>
    <row r="333" spans="1:12" x14ac:dyDescent="0.25">
      <c r="A333" s="8"/>
      <c r="B333" s="1" t="str">
        <f>IF(Tabela22[[#This Row],[Data]]="","",PROPER(TEXT(Tabela22[[#This Row],[Data]],"mmm")))</f>
        <v/>
      </c>
      <c r="C333" s="1" t="str">
        <f>IF(Tabela22[[#This Row],[Data]]="","",PROPER(TEXT(Tabela22[[#This Row],[Data]],"ddd")))</f>
        <v/>
      </c>
      <c r="D333" s="9"/>
      <c r="E333" s="9"/>
      <c r="F333" s="9"/>
      <c r="G333" s="11"/>
      <c r="H333" s="9"/>
      <c r="I333" s="22"/>
      <c r="J333" s="24"/>
      <c r="K33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33" s="22"/>
    </row>
    <row r="334" spans="1:12" x14ac:dyDescent="0.25">
      <c r="A334" s="8"/>
      <c r="B334" s="1" t="str">
        <f>IF(Tabela22[[#This Row],[Data]]="","",PROPER(TEXT(Tabela22[[#This Row],[Data]],"mmm")))</f>
        <v/>
      </c>
      <c r="C334" s="1" t="str">
        <f>IF(Tabela22[[#This Row],[Data]]="","",PROPER(TEXT(Tabela22[[#This Row],[Data]],"ddd")))</f>
        <v/>
      </c>
      <c r="D334" s="9"/>
      <c r="E334" s="9"/>
      <c r="F334" s="9"/>
      <c r="G334" s="10"/>
      <c r="H334" s="9"/>
      <c r="I334" s="22"/>
      <c r="J334" s="24"/>
      <c r="K33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34" s="22"/>
    </row>
    <row r="335" spans="1:12" x14ac:dyDescent="0.25">
      <c r="A335" s="8"/>
      <c r="B335" s="1" t="str">
        <f>IF(Tabela22[[#This Row],[Data]]="","",PROPER(TEXT(Tabela22[[#This Row],[Data]],"mmm")))</f>
        <v/>
      </c>
      <c r="C335" s="1" t="str">
        <f>IF(Tabela22[[#This Row],[Data]]="","",PROPER(TEXT(Tabela22[[#This Row],[Data]],"ddd")))</f>
        <v/>
      </c>
      <c r="D335" s="9"/>
      <c r="E335" s="9"/>
      <c r="F335" s="9"/>
      <c r="G335" s="11"/>
      <c r="H335" s="9"/>
      <c r="I335" s="22"/>
      <c r="J335" s="24"/>
      <c r="K33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35" s="22"/>
    </row>
    <row r="336" spans="1:12" x14ac:dyDescent="0.25">
      <c r="A336" s="8"/>
      <c r="B336" s="1" t="str">
        <f>IF(Tabela22[[#This Row],[Data]]="","",PROPER(TEXT(Tabela22[[#This Row],[Data]],"mmm")))</f>
        <v/>
      </c>
      <c r="C336" s="1" t="str">
        <f>IF(Tabela22[[#This Row],[Data]]="","",PROPER(TEXT(Tabela22[[#This Row],[Data]],"ddd")))</f>
        <v/>
      </c>
      <c r="D336" s="9"/>
      <c r="E336" s="9"/>
      <c r="F336" s="9"/>
      <c r="G336" s="11"/>
      <c r="H336" s="9"/>
      <c r="I336" s="22"/>
      <c r="J336" s="24"/>
      <c r="K33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36" s="22"/>
    </row>
    <row r="337" spans="1:12" x14ac:dyDescent="0.25">
      <c r="A337" s="8"/>
      <c r="B337" s="1" t="str">
        <f>IF(Tabela22[[#This Row],[Data]]="","",PROPER(TEXT(Tabela22[[#This Row],[Data]],"mmm")))</f>
        <v/>
      </c>
      <c r="C337" s="1" t="str">
        <f>IF(Tabela22[[#This Row],[Data]]="","",PROPER(TEXT(Tabela22[[#This Row],[Data]],"ddd")))</f>
        <v/>
      </c>
      <c r="D337" s="9"/>
      <c r="E337" s="9"/>
      <c r="F337" s="9"/>
      <c r="G337" s="11"/>
      <c r="H337" s="9"/>
      <c r="I337" s="22"/>
      <c r="J337" s="24"/>
      <c r="K33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37" s="22"/>
    </row>
    <row r="338" spans="1:12" x14ac:dyDescent="0.25">
      <c r="A338" s="8"/>
      <c r="B338" s="1" t="str">
        <f>IF(Tabela22[[#This Row],[Data]]="","",PROPER(TEXT(Tabela22[[#This Row],[Data]],"mmm")))</f>
        <v/>
      </c>
      <c r="C338" s="1" t="str">
        <f>IF(Tabela22[[#This Row],[Data]]="","",PROPER(TEXT(Tabela22[[#This Row],[Data]],"ddd")))</f>
        <v/>
      </c>
      <c r="D338" s="9"/>
      <c r="E338" s="9"/>
      <c r="F338" s="9"/>
      <c r="G338" s="11"/>
      <c r="H338" s="9"/>
      <c r="I338" s="22"/>
      <c r="J338" s="24"/>
      <c r="K33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38" s="22"/>
    </row>
    <row r="339" spans="1:12" x14ac:dyDescent="0.25">
      <c r="A339" s="8"/>
      <c r="B339" s="1" t="str">
        <f>IF(Tabela22[[#This Row],[Data]]="","",PROPER(TEXT(Tabela22[[#This Row],[Data]],"mmm")))</f>
        <v/>
      </c>
      <c r="C339" s="1" t="str">
        <f>IF(Tabela22[[#This Row],[Data]]="","",PROPER(TEXT(Tabela22[[#This Row],[Data]],"ddd")))</f>
        <v/>
      </c>
      <c r="D339" s="9"/>
      <c r="E339" s="9"/>
      <c r="F339" s="9"/>
      <c r="G339" s="11"/>
      <c r="H339" s="9"/>
      <c r="I339" s="22"/>
      <c r="J339" s="24"/>
      <c r="K33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39" s="22"/>
    </row>
    <row r="340" spans="1:12" x14ac:dyDescent="0.25">
      <c r="A340" s="8"/>
      <c r="B340" s="1" t="str">
        <f>IF(Tabela22[[#This Row],[Data]]="","",PROPER(TEXT(Tabela22[[#This Row],[Data]],"mmm")))</f>
        <v/>
      </c>
      <c r="C340" s="1" t="str">
        <f>IF(Tabela22[[#This Row],[Data]]="","",PROPER(TEXT(Tabela22[[#This Row],[Data]],"ddd")))</f>
        <v/>
      </c>
      <c r="D340" s="9"/>
      <c r="E340" s="9"/>
      <c r="F340" s="9"/>
      <c r="G340" s="10"/>
      <c r="H340" s="9"/>
      <c r="I340" s="22"/>
      <c r="J340" s="24"/>
      <c r="K34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40" s="22"/>
    </row>
    <row r="341" spans="1:12" x14ac:dyDescent="0.25">
      <c r="A341" s="8"/>
      <c r="B341" s="1" t="str">
        <f>IF(Tabela22[[#This Row],[Data]]="","",PROPER(TEXT(Tabela22[[#This Row],[Data]],"mmm")))</f>
        <v/>
      </c>
      <c r="C341" s="1" t="str">
        <f>IF(Tabela22[[#This Row],[Data]]="","",PROPER(TEXT(Tabela22[[#This Row],[Data]],"ddd")))</f>
        <v/>
      </c>
      <c r="D341" s="9"/>
      <c r="E341" s="9"/>
      <c r="F341" s="9"/>
      <c r="G341" s="11"/>
      <c r="H341" s="9"/>
      <c r="I341" s="22"/>
      <c r="J341" s="24"/>
      <c r="K34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41" s="22"/>
    </row>
    <row r="342" spans="1:12" x14ac:dyDescent="0.25">
      <c r="A342" s="8"/>
      <c r="B342" s="1" t="str">
        <f>IF(Tabela22[[#This Row],[Data]]="","",PROPER(TEXT(Tabela22[[#This Row],[Data]],"mmm")))</f>
        <v/>
      </c>
      <c r="C342" s="1" t="str">
        <f>IF(Tabela22[[#This Row],[Data]]="","",PROPER(TEXT(Tabela22[[#This Row],[Data]],"ddd")))</f>
        <v/>
      </c>
      <c r="D342" s="9"/>
      <c r="E342" s="9"/>
      <c r="F342" s="9"/>
      <c r="G342" s="11"/>
      <c r="H342" s="9"/>
      <c r="I342" s="22"/>
      <c r="J342" s="24"/>
      <c r="K34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42" s="22"/>
    </row>
    <row r="343" spans="1:12" x14ac:dyDescent="0.25">
      <c r="A343" s="8"/>
      <c r="B343" s="1" t="str">
        <f>IF(Tabela22[[#This Row],[Data]]="","",PROPER(TEXT(Tabela22[[#This Row],[Data]],"mmm")))</f>
        <v/>
      </c>
      <c r="C343" s="1" t="str">
        <f>IF(Tabela22[[#This Row],[Data]]="","",PROPER(TEXT(Tabela22[[#This Row],[Data]],"ddd")))</f>
        <v/>
      </c>
      <c r="D343" s="9"/>
      <c r="E343" s="9"/>
      <c r="F343" s="9"/>
      <c r="G343" s="11"/>
      <c r="H343" s="9"/>
      <c r="I343" s="22"/>
      <c r="J343" s="24"/>
      <c r="K34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43" s="22"/>
    </row>
    <row r="344" spans="1:12" x14ac:dyDescent="0.25">
      <c r="A344" s="8"/>
      <c r="B344" s="1" t="str">
        <f>IF(Tabela22[[#This Row],[Data]]="","",PROPER(TEXT(Tabela22[[#This Row],[Data]],"mmm")))</f>
        <v/>
      </c>
      <c r="C344" s="1" t="str">
        <f>IF(Tabela22[[#This Row],[Data]]="","",PROPER(TEXT(Tabela22[[#This Row],[Data]],"ddd")))</f>
        <v/>
      </c>
      <c r="D344" s="9"/>
      <c r="E344" s="9"/>
      <c r="F344" s="9"/>
      <c r="G344" s="11"/>
      <c r="H344" s="9"/>
      <c r="I344" s="22"/>
      <c r="J344" s="24"/>
      <c r="K34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44" s="22"/>
    </row>
    <row r="345" spans="1:12" x14ac:dyDescent="0.25">
      <c r="A345" s="8"/>
      <c r="B345" s="1" t="str">
        <f>IF(Tabela22[[#This Row],[Data]]="","",PROPER(TEXT(Tabela22[[#This Row],[Data]],"mmm")))</f>
        <v/>
      </c>
      <c r="C345" s="1" t="str">
        <f>IF(Tabela22[[#This Row],[Data]]="","",PROPER(TEXT(Tabela22[[#This Row],[Data]],"ddd")))</f>
        <v/>
      </c>
      <c r="D345" s="9"/>
      <c r="E345" s="9"/>
      <c r="F345" s="9"/>
      <c r="G345" s="11"/>
      <c r="H345" s="9"/>
      <c r="I345" s="22"/>
      <c r="J345" s="24"/>
      <c r="K34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45" s="22"/>
    </row>
    <row r="346" spans="1:12" x14ac:dyDescent="0.25">
      <c r="A346" s="8"/>
      <c r="B346" s="1" t="str">
        <f>IF(Tabela22[[#This Row],[Data]]="","",PROPER(TEXT(Tabela22[[#This Row],[Data]],"mmm")))</f>
        <v/>
      </c>
      <c r="C346" s="1" t="str">
        <f>IF(Tabela22[[#This Row],[Data]]="","",PROPER(TEXT(Tabela22[[#This Row],[Data]],"ddd")))</f>
        <v/>
      </c>
      <c r="D346" s="9"/>
      <c r="E346" s="9"/>
      <c r="F346" s="9"/>
      <c r="G346" s="10"/>
      <c r="H346" s="9"/>
      <c r="I346" s="22"/>
      <c r="J346" s="24"/>
      <c r="K34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46" s="22"/>
    </row>
    <row r="347" spans="1:12" x14ac:dyDescent="0.25">
      <c r="A347" s="8"/>
      <c r="B347" s="1" t="str">
        <f>IF(Tabela22[[#This Row],[Data]]="","",PROPER(TEXT(Tabela22[[#This Row],[Data]],"mmm")))</f>
        <v/>
      </c>
      <c r="C347" s="1" t="str">
        <f>IF(Tabela22[[#This Row],[Data]]="","",PROPER(TEXT(Tabela22[[#This Row],[Data]],"ddd")))</f>
        <v/>
      </c>
      <c r="D347" s="9"/>
      <c r="E347" s="9"/>
      <c r="F347" s="9"/>
      <c r="G347" s="11"/>
      <c r="H347" s="9"/>
      <c r="I347" s="22"/>
      <c r="J347" s="24"/>
      <c r="K34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47" s="22"/>
    </row>
    <row r="348" spans="1:12" x14ac:dyDescent="0.25">
      <c r="A348" s="8"/>
      <c r="B348" s="1" t="str">
        <f>IF(Tabela22[[#This Row],[Data]]="","",PROPER(TEXT(Tabela22[[#This Row],[Data]],"mmm")))</f>
        <v/>
      </c>
      <c r="C348" s="1" t="str">
        <f>IF(Tabela22[[#This Row],[Data]]="","",PROPER(TEXT(Tabela22[[#This Row],[Data]],"ddd")))</f>
        <v/>
      </c>
      <c r="D348" s="9"/>
      <c r="E348" s="9"/>
      <c r="F348" s="9"/>
      <c r="G348" s="11"/>
      <c r="H348" s="9"/>
      <c r="I348" s="22"/>
      <c r="J348" s="24"/>
      <c r="K34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48" s="22"/>
    </row>
    <row r="349" spans="1:12" x14ac:dyDescent="0.25">
      <c r="A349" s="8"/>
      <c r="B349" s="1" t="str">
        <f>IF(Tabela22[[#This Row],[Data]]="","",PROPER(TEXT(Tabela22[[#This Row],[Data]],"mmm")))</f>
        <v/>
      </c>
      <c r="C349" s="1" t="str">
        <f>IF(Tabela22[[#This Row],[Data]]="","",PROPER(TEXT(Tabela22[[#This Row],[Data]],"ddd")))</f>
        <v/>
      </c>
      <c r="D349" s="9"/>
      <c r="E349" s="9"/>
      <c r="F349" s="9"/>
      <c r="G349" s="11"/>
      <c r="H349" s="9"/>
      <c r="I349" s="22"/>
      <c r="J349" s="24"/>
      <c r="K34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49" s="22"/>
    </row>
    <row r="350" spans="1:12" x14ac:dyDescent="0.25">
      <c r="A350" s="8"/>
      <c r="B350" s="1" t="str">
        <f>IF(Tabela22[[#This Row],[Data]]="","",PROPER(TEXT(Tabela22[[#This Row],[Data]],"mmm")))</f>
        <v/>
      </c>
      <c r="C350" s="1" t="str">
        <f>IF(Tabela22[[#This Row],[Data]]="","",PROPER(TEXT(Tabela22[[#This Row],[Data]],"ddd")))</f>
        <v/>
      </c>
      <c r="D350" s="9"/>
      <c r="E350" s="9"/>
      <c r="F350" s="9"/>
      <c r="G350" s="11"/>
      <c r="H350" s="9"/>
      <c r="I350" s="22"/>
      <c r="J350" s="24"/>
      <c r="K35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50" s="22"/>
    </row>
    <row r="351" spans="1:12" x14ac:dyDescent="0.25">
      <c r="A351" s="8"/>
      <c r="B351" s="1" t="str">
        <f>IF(Tabela22[[#This Row],[Data]]="","",PROPER(TEXT(Tabela22[[#This Row],[Data]],"mmm")))</f>
        <v/>
      </c>
      <c r="C351" s="1" t="str">
        <f>IF(Tabela22[[#This Row],[Data]]="","",PROPER(TEXT(Tabela22[[#This Row],[Data]],"ddd")))</f>
        <v/>
      </c>
      <c r="D351" s="9"/>
      <c r="E351" s="9"/>
      <c r="F351" s="9"/>
      <c r="G351" s="11"/>
      <c r="H351" s="9"/>
      <c r="I351" s="22"/>
      <c r="J351" s="24"/>
      <c r="K35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51" s="22"/>
    </row>
    <row r="352" spans="1:12" x14ac:dyDescent="0.25">
      <c r="A352" s="8"/>
      <c r="B352" s="1" t="str">
        <f>IF(Tabela22[[#This Row],[Data]]="","",PROPER(TEXT(Tabela22[[#This Row],[Data]],"mmm")))</f>
        <v/>
      </c>
      <c r="C352" s="1" t="str">
        <f>IF(Tabela22[[#This Row],[Data]]="","",PROPER(TEXT(Tabela22[[#This Row],[Data]],"ddd")))</f>
        <v/>
      </c>
      <c r="D352" s="9"/>
      <c r="E352" s="9"/>
      <c r="F352" s="9"/>
      <c r="G352" s="10"/>
      <c r="H352" s="9"/>
      <c r="I352" s="22"/>
      <c r="J352" s="24"/>
      <c r="K35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52" s="22"/>
    </row>
    <row r="353" spans="1:12" x14ac:dyDescent="0.25">
      <c r="A353" s="8"/>
      <c r="B353" s="1" t="str">
        <f>IF(Tabela22[[#This Row],[Data]]="","",PROPER(TEXT(Tabela22[[#This Row],[Data]],"mmm")))</f>
        <v/>
      </c>
      <c r="C353" s="1" t="str">
        <f>IF(Tabela22[[#This Row],[Data]]="","",PROPER(TEXT(Tabela22[[#This Row],[Data]],"ddd")))</f>
        <v/>
      </c>
      <c r="D353" s="9"/>
      <c r="E353" s="9"/>
      <c r="F353" s="9"/>
      <c r="G353" s="11"/>
      <c r="H353" s="9"/>
      <c r="I353" s="22"/>
      <c r="J353" s="24"/>
      <c r="K35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53" s="22"/>
    </row>
    <row r="354" spans="1:12" x14ac:dyDescent="0.25">
      <c r="A354" s="8"/>
      <c r="B354" s="1" t="str">
        <f>IF(Tabela22[[#This Row],[Data]]="","",PROPER(TEXT(Tabela22[[#This Row],[Data]],"mmm")))</f>
        <v/>
      </c>
      <c r="C354" s="1" t="str">
        <f>IF(Tabela22[[#This Row],[Data]]="","",PROPER(TEXT(Tabela22[[#This Row],[Data]],"ddd")))</f>
        <v/>
      </c>
      <c r="D354" s="9"/>
      <c r="E354" s="9"/>
      <c r="F354" s="9"/>
      <c r="G354" s="11"/>
      <c r="H354" s="9"/>
      <c r="I354" s="22"/>
      <c r="J354" s="24"/>
      <c r="K35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54" s="22"/>
    </row>
    <row r="355" spans="1:12" x14ac:dyDescent="0.25">
      <c r="A355" s="8"/>
      <c r="B355" s="1" t="str">
        <f>IF(Tabela22[[#This Row],[Data]]="","",PROPER(TEXT(Tabela22[[#This Row],[Data]],"mmm")))</f>
        <v/>
      </c>
      <c r="C355" s="1" t="str">
        <f>IF(Tabela22[[#This Row],[Data]]="","",PROPER(TEXT(Tabela22[[#This Row],[Data]],"ddd")))</f>
        <v/>
      </c>
      <c r="D355" s="9"/>
      <c r="E355" s="9"/>
      <c r="F355" s="9"/>
      <c r="G355" s="11"/>
      <c r="H355" s="9"/>
      <c r="I355" s="22"/>
      <c r="J355" s="24"/>
      <c r="K35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55" s="22"/>
    </row>
    <row r="356" spans="1:12" x14ac:dyDescent="0.25">
      <c r="A356" s="8"/>
      <c r="B356" s="1" t="str">
        <f>IF(Tabela22[[#This Row],[Data]]="","",PROPER(TEXT(Tabela22[[#This Row],[Data]],"mmm")))</f>
        <v/>
      </c>
      <c r="C356" s="1" t="str">
        <f>IF(Tabela22[[#This Row],[Data]]="","",PROPER(TEXT(Tabela22[[#This Row],[Data]],"ddd")))</f>
        <v/>
      </c>
      <c r="D356" s="9"/>
      <c r="E356" s="9"/>
      <c r="F356" s="9"/>
      <c r="G356" s="11"/>
      <c r="H356" s="9"/>
      <c r="I356" s="22"/>
      <c r="J356" s="24"/>
      <c r="K35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56" s="22"/>
    </row>
    <row r="357" spans="1:12" x14ac:dyDescent="0.25">
      <c r="A357" s="8"/>
      <c r="B357" s="1" t="str">
        <f>IF(Tabela22[[#This Row],[Data]]="","",PROPER(TEXT(Tabela22[[#This Row],[Data]],"mmm")))</f>
        <v/>
      </c>
      <c r="C357" s="1" t="str">
        <f>IF(Tabela22[[#This Row],[Data]]="","",PROPER(TEXT(Tabela22[[#This Row],[Data]],"ddd")))</f>
        <v/>
      </c>
      <c r="D357" s="9"/>
      <c r="E357" s="9"/>
      <c r="F357" s="9"/>
      <c r="G357" s="11"/>
      <c r="H357" s="9"/>
      <c r="I357" s="22"/>
      <c r="J357" s="24"/>
      <c r="K35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57" s="22"/>
    </row>
    <row r="358" spans="1:12" x14ac:dyDescent="0.25">
      <c r="A358" s="8"/>
      <c r="B358" s="1" t="str">
        <f>IF(Tabela22[[#This Row],[Data]]="","",PROPER(TEXT(Tabela22[[#This Row],[Data]],"mmm")))</f>
        <v/>
      </c>
      <c r="C358" s="1" t="str">
        <f>IF(Tabela22[[#This Row],[Data]]="","",PROPER(TEXT(Tabela22[[#This Row],[Data]],"ddd")))</f>
        <v/>
      </c>
      <c r="D358" s="9"/>
      <c r="E358" s="9"/>
      <c r="F358" s="9"/>
      <c r="G358" s="10"/>
      <c r="H358" s="9"/>
      <c r="I358" s="22"/>
      <c r="J358" s="24"/>
      <c r="K35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58" s="22"/>
    </row>
    <row r="359" spans="1:12" x14ac:dyDescent="0.25">
      <c r="A359" s="8"/>
      <c r="B359" s="1" t="str">
        <f>IF(Tabela22[[#This Row],[Data]]="","",PROPER(TEXT(Tabela22[[#This Row],[Data]],"mmm")))</f>
        <v/>
      </c>
      <c r="C359" s="1" t="str">
        <f>IF(Tabela22[[#This Row],[Data]]="","",PROPER(TEXT(Tabela22[[#This Row],[Data]],"ddd")))</f>
        <v/>
      </c>
      <c r="D359" s="9"/>
      <c r="E359" s="9"/>
      <c r="F359" s="9"/>
      <c r="G359" s="11"/>
      <c r="H359" s="9"/>
      <c r="I359" s="22"/>
      <c r="J359" s="24"/>
      <c r="K35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59" s="22"/>
    </row>
    <row r="360" spans="1:12" x14ac:dyDescent="0.25">
      <c r="A360" s="8"/>
      <c r="B360" s="1" t="str">
        <f>IF(Tabela22[[#This Row],[Data]]="","",PROPER(TEXT(Tabela22[[#This Row],[Data]],"mmm")))</f>
        <v/>
      </c>
      <c r="C360" s="1" t="str">
        <f>IF(Tabela22[[#This Row],[Data]]="","",PROPER(TEXT(Tabela22[[#This Row],[Data]],"ddd")))</f>
        <v/>
      </c>
      <c r="D360" s="9"/>
      <c r="E360" s="9"/>
      <c r="F360" s="9"/>
      <c r="G360" s="11"/>
      <c r="H360" s="9"/>
      <c r="I360" s="22"/>
      <c r="J360" s="24"/>
      <c r="K36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60" s="22"/>
    </row>
    <row r="361" spans="1:12" x14ac:dyDescent="0.25">
      <c r="A361" s="8"/>
      <c r="B361" s="1" t="str">
        <f>IF(Tabela22[[#This Row],[Data]]="","",PROPER(TEXT(Tabela22[[#This Row],[Data]],"mmm")))</f>
        <v/>
      </c>
      <c r="C361" s="1" t="str">
        <f>IF(Tabela22[[#This Row],[Data]]="","",PROPER(TEXT(Tabela22[[#This Row],[Data]],"ddd")))</f>
        <v/>
      </c>
      <c r="D361" s="9"/>
      <c r="E361" s="9"/>
      <c r="F361" s="9"/>
      <c r="G361" s="11"/>
      <c r="H361" s="9"/>
      <c r="I361" s="22"/>
      <c r="J361" s="24"/>
      <c r="K36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61" s="22"/>
    </row>
    <row r="362" spans="1:12" x14ac:dyDescent="0.25">
      <c r="A362" s="8"/>
      <c r="B362" s="1" t="str">
        <f>IF(Tabela22[[#This Row],[Data]]="","",PROPER(TEXT(Tabela22[[#This Row],[Data]],"mmm")))</f>
        <v/>
      </c>
      <c r="C362" s="1" t="str">
        <f>IF(Tabela22[[#This Row],[Data]]="","",PROPER(TEXT(Tabela22[[#This Row],[Data]],"ddd")))</f>
        <v/>
      </c>
      <c r="D362" s="9"/>
      <c r="E362" s="9"/>
      <c r="F362" s="9"/>
      <c r="G362" s="11"/>
      <c r="H362" s="9"/>
      <c r="I362" s="22"/>
      <c r="J362" s="24"/>
      <c r="K36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62" s="22"/>
    </row>
    <row r="363" spans="1:12" x14ac:dyDescent="0.25">
      <c r="A363" s="8"/>
      <c r="B363" s="1" t="str">
        <f>IF(Tabela22[[#This Row],[Data]]="","",PROPER(TEXT(Tabela22[[#This Row],[Data]],"mmm")))</f>
        <v/>
      </c>
      <c r="C363" s="1" t="str">
        <f>IF(Tabela22[[#This Row],[Data]]="","",PROPER(TEXT(Tabela22[[#This Row],[Data]],"ddd")))</f>
        <v/>
      </c>
      <c r="D363" s="9"/>
      <c r="E363" s="9"/>
      <c r="F363" s="9"/>
      <c r="G363" s="11"/>
      <c r="H363" s="9"/>
      <c r="I363" s="22"/>
      <c r="J363" s="24"/>
      <c r="K36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63" s="22"/>
    </row>
    <row r="364" spans="1:12" x14ac:dyDescent="0.25">
      <c r="A364" s="8"/>
      <c r="B364" s="1" t="str">
        <f>IF(Tabela22[[#This Row],[Data]]="","",PROPER(TEXT(Tabela22[[#This Row],[Data]],"mmm")))</f>
        <v/>
      </c>
      <c r="C364" s="1" t="str">
        <f>IF(Tabela22[[#This Row],[Data]]="","",PROPER(TEXT(Tabela22[[#This Row],[Data]],"ddd")))</f>
        <v/>
      </c>
      <c r="D364" s="9"/>
      <c r="E364" s="9"/>
      <c r="F364" s="9"/>
      <c r="G364" s="10"/>
      <c r="H364" s="9"/>
      <c r="I364" s="22"/>
      <c r="J364" s="24"/>
      <c r="K36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64" s="22"/>
    </row>
    <row r="365" spans="1:12" x14ac:dyDescent="0.25">
      <c r="A365" s="8"/>
      <c r="B365" s="1" t="str">
        <f>IF(Tabela22[[#This Row],[Data]]="","",PROPER(TEXT(Tabela22[[#This Row],[Data]],"mmm")))</f>
        <v/>
      </c>
      <c r="C365" s="1" t="str">
        <f>IF(Tabela22[[#This Row],[Data]]="","",PROPER(TEXT(Tabela22[[#This Row],[Data]],"ddd")))</f>
        <v/>
      </c>
      <c r="D365" s="9"/>
      <c r="E365" s="9"/>
      <c r="F365" s="9"/>
      <c r="G365" s="11"/>
      <c r="H365" s="9"/>
      <c r="I365" s="22"/>
      <c r="J365" s="24"/>
      <c r="K36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65" s="22"/>
    </row>
    <row r="366" spans="1:12" x14ac:dyDescent="0.25">
      <c r="A366" s="8"/>
      <c r="B366" s="1" t="str">
        <f>IF(Tabela22[[#This Row],[Data]]="","",PROPER(TEXT(Tabela22[[#This Row],[Data]],"mmm")))</f>
        <v/>
      </c>
      <c r="C366" s="1" t="str">
        <f>IF(Tabela22[[#This Row],[Data]]="","",PROPER(TEXT(Tabela22[[#This Row],[Data]],"ddd")))</f>
        <v/>
      </c>
      <c r="D366" s="9"/>
      <c r="E366" s="9"/>
      <c r="F366" s="9"/>
      <c r="G366" s="11"/>
      <c r="H366" s="9"/>
      <c r="I366" s="22"/>
      <c r="J366" s="24"/>
      <c r="K36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66" s="22"/>
    </row>
    <row r="367" spans="1:12" x14ac:dyDescent="0.25">
      <c r="A367" s="8"/>
      <c r="B367" s="1" t="str">
        <f>IF(Tabela22[[#This Row],[Data]]="","",PROPER(TEXT(Tabela22[[#This Row],[Data]],"mmm")))</f>
        <v/>
      </c>
      <c r="C367" s="1" t="str">
        <f>IF(Tabela22[[#This Row],[Data]]="","",PROPER(TEXT(Tabela22[[#This Row],[Data]],"ddd")))</f>
        <v/>
      </c>
      <c r="D367" s="9"/>
      <c r="E367" s="9"/>
      <c r="F367" s="9"/>
      <c r="G367" s="11"/>
      <c r="H367" s="9"/>
      <c r="I367" s="22"/>
      <c r="J367" s="24"/>
      <c r="K36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67" s="22"/>
    </row>
    <row r="368" spans="1:12" x14ac:dyDescent="0.25">
      <c r="A368" s="8"/>
      <c r="B368" s="1" t="str">
        <f>IF(Tabela22[[#This Row],[Data]]="","",PROPER(TEXT(Tabela22[[#This Row],[Data]],"mmm")))</f>
        <v/>
      </c>
      <c r="C368" s="1" t="str">
        <f>IF(Tabela22[[#This Row],[Data]]="","",PROPER(TEXT(Tabela22[[#This Row],[Data]],"ddd")))</f>
        <v/>
      </c>
      <c r="D368" s="9"/>
      <c r="E368" s="9"/>
      <c r="F368" s="9"/>
      <c r="G368" s="11"/>
      <c r="H368" s="9"/>
      <c r="I368" s="22"/>
      <c r="J368" s="24"/>
      <c r="K36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68" s="22"/>
    </row>
    <row r="369" spans="1:12" x14ac:dyDescent="0.25">
      <c r="A369" s="8"/>
      <c r="B369" s="1" t="str">
        <f>IF(Tabela22[[#This Row],[Data]]="","",PROPER(TEXT(Tabela22[[#This Row],[Data]],"mmm")))</f>
        <v/>
      </c>
      <c r="C369" s="1" t="str">
        <f>IF(Tabela22[[#This Row],[Data]]="","",PROPER(TEXT(Tabela22[[#This Row],[Data]],"ddd")))</f>
        <v/>
      </c>
      <c r="D369" s="9"/>
      <c r="E369" s="9"/>
      <c r="F369" s="9"/>
      <c r="G369" s="11"/>
      <c r="H369" s="9"/>
      <c r="I369" s="22"/>
      <c r="J369" s="24"/>
      <c r="K36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69" s="22"/>
    </row>
    <row r="370" spans="1:12" x14ac:dyDescent="0.25">
      <c r="A370" s="8"/>
      <c r="B370" s="1" t="str">
        <f>IF(Tabela22[[#This Row],[Data]]="","",PROPER(TEXT(Tabela22[[#This Row],[Data]],"mmm")))</f>
        <v/>
      </c>
      <c r="C370" s="1" t="str">
        <f>IF(Tabela22[[#This Row],[Data]]="","",PROPER(TEXT(Tabela22[[#This Row],[Data]],"ddd")))</f>
        <v/>
      </c>
      <c r="D370" s="9"/>
      <c r="E370" s="9"/>
      <c r="F370" s="9"/>
      <c r="G370" s="10"/>
      <c r="H370" s="9"/>
      <c r="I370" s="22"/>
      <c r="J370" s="24"/>
      <c r="K37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70" s="22"/>
    </row>
    <row r="371" spans="1:12" x14ac:dyDescent="0.25">
      <c r="A371" s="8"/>
      <c r="B371" s="1" t="str">
        <f>IF(Tabela22[[#This Row],[Data]]="","",PROPER(TEXT(Tabela22[[#This Row],[Data]],"mmm")))</f>
        <v/>
      </c>
      <c r="C371" s="1" t="str">
        <f>IF(Tabela22[[#This Row],[Data]]="","",PROPER(TEXT(Tabela22[[#This Row],[Data]],"ddd")))</f>
        <v/>
      </c>
      <c r="D371" s="9"/>
      <c r="E371" s="9"/>
      <c r="F371" s="9"/>
      <c r="G371" s="11"/>
      <c r="H371" s="9"/>
      <c r="I371" s="22"/>
      <c r="J371" s="24"/>
      <c r="K37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71" s="22"/>
    </row>
    <row r="372" spans="1:12" x14ac:dyDescent="0.25">
      <c r="A372" s="8"/>
      <c r="B372" s="1" t="str">
        <f>IF(Tabela22[[#This Row],[Data]]="","",PROPER(TEXT(Tabela22[[#This Row],[Data]],"mmm")))</f>
        <v/>
      </c>
      <c r="C372" s="1" t="str">
        <f>IF(Tabela22[[#This Row],[Data]]="","",PROPER(TEXT(Tabela22[[#This Row],[Data]],"ddd")))</f>
        <v/>
      </c>
      <c r="D372" s="9"/>
      <c r="E372" s="9"/>
      <c r="F372" s="9"/>
      <c r="G372" s="11"/>
      <c r="H372" s="9"/>
      <c r="I372" s="22"/>
      <c r="J372" s="24"/>
      <c r="K37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72" s="22"/>
    </row>
    <row r="373" spans="1:12" x14ac:dyDescent="0.25">
      <c r="A373" s="8"/>
      <c r="B373" s="1" t="str">
        <f>IF(Tabela22[[#This Row],[Data]]="","",PROPER(TEXT(Tabela22[[#This Row],[Data]],"mmm")))</f>
        <v/>
      </c>
      <c r="C373" s="1" t="str">
        <f>IF(Tabela22[[#This Row],[Data]]="","",PROPER(TEXT(Tabela22[[#This Row],[Data]],"ddd")))</f>
        <v/>
      </c>
      <c r="D373" s="9"/>
      <c r="E373" s="9"/>
      <c r="F373" s="9"/>
      <c r="G373" s="11"/>
      <c r="H373" s="9"/>
      <c r="I373" s="22"/>
      <c r="J373" s="24"/>
      <c r="K37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73" s="22"/>
    </row>
    <row r="374" spans="1:12" x14ac:dyDescent="0.25">
      <c r="A374" s="12"/>
      <c r="B374" s="1" t="str">
        <f>IF(Tabela22[[#This Row],[Data]]="","",PROPER(TEXT(Tabela22[[#This Row],[Data]],"mmm")))</f>
        <v/>
      </c>
      <c r="C374" s="1" t="str">
        <f>IF(Tabela22[[#This Row],[Data]]="","",PROPER(TEXT(Tabela22[[#This Row],[Data]],"ddd")))</f>
        <v/>
      </c>
      <c r="D374" s="9"/>
      <c r="E374" s="9"/>
      <c r="F374" s="9"/>
      <c r="G374" s="11"/>
      <c r="H374" s="9"/>
      <c r="I374" s="22"/>
      <c r="J374" s="25"/>
      <c r="K374" s="43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74" s="23"/>
    </row>
    <row r="375" spans="1:12" x14ac:dyDescent="0.25">
      <c r="A375" s="13"/>
      <c r="B375" s="7" t="str">
        <f>IF(Tabela22[[#This Row],[Data]]="","",PROPER(TEXT(Tabela22[[#This Row],[Data]],"mmm")))</f>
        <v/>
      </c>
      <c r="C375" s="1" t="str">
        <f>IF(Tabela22[[#This Row],[Data]]="","",PROPER(TEXT(Tabela22[[#This Row],[Data]],"ddd")))</f>
        <v/>
      </c>
      <c r="D375" s="9"/>
      <c r="E375" s="9"/>
      <c r="F375" s="9"/>
      <c r="G375" s="11"/>
      <c r="H375" s="9"/>
      <c r="I375" s="22"/>
      <c r="J375" s="24"/>
      <c r="K37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75" s="22"/>
    </row>
    <row r="376" spans="1:12" x14ac:dyDescent="0.25">
      <c r="A376" s="13"/>
      <c r="B376" s="7" t="str">
        <f>IF(Tabela22[[#This Row],[Data]]="","",PROPER(TEXT(Tabela22[[#This Row],[Data]],"mmm")))</f>
        <v/>
      </c>
      <c r="C376" s="1" t="str">
        <f>IF(Tabela22[[#This Row],[Data]]="","",PROPER(TEXT(Tabela22[[#This Row],[Data]],"ddd")))</f>
        <v/>
      </c>
      <c r="D376" s="9"/>
      <c r="E376" s="9"/>
      <c r="F376" s="9"/>
      <c r="G376" s="11"/>
      <c r="H376" s="9"/>
      <c r="I376" s="22"/>
      <c r="J376" s="24"/>
      <c r="K37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76" s="22"/>
    </row>
    <row r="377" spans="1:12" x14ac:dyDescent="0.25">
      <c r="A377" s="13"/>
      <c r="B377" s="7" t="str">
        <f>IF(Tabela22[[#This Row],[Data]]="","",PROPER(TEXT(Tabela22[[#This Row],[Data]],"mmm")))</f>
        <v/>
      </c>
      <c r="C377" s="1" t="str">
        <f>IF(Tabela22[[#This Row],[Data]]="","",PROPER(TEXT(Tabela22[[#This Row],[Data]],"ddd")))</f>
        <v/>
      </c>
      <c r="D377" s="9"/>
      <c r="E377" s="9"/>
      <c r="F377" s="9"/>
      <c r="G377" s="11"/>
      <c r="H377" s="9"/>
      <c r="I377" s="22"/>
      <c r="J377" s="24"/>
      <c r="K37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77" s="22"/>
    </row>
    <row r="378" spans="1:12" x14ac:dyDescent="0.25">
      <c r="A378" s="13"/>
      <c r="B378" s="7" t="str">
        <f>IF(Tabela22[[#This Row],[Data]]="","",PROPER(TEXT(Tabela22[[#This Row],[Data]],"mmm")))</f>
        <v/>
      </c>
      <c r="C378" s="1" t="str">
        <f>IF(Tabela22[[#This Row],[Data]]="","",PROPER(TEXT(Tabela22[[#This Row],[Data]],"ddd")))</f>
        <v/>
      </c>
      <c r="D378" s="9"/>
      <c r="E378" s="9"/>
      <c r="F378" s="9"/>
      <c r="G378" s="11"/>
      <c r="H378" s="9"/>
      <c r="I378" s="22"/>
      <c r="J378" s="24"/>
      <c r="K37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78" s="22"/>
    </row>
    <row r="379" spans="1:12" x14ac:dyDescent="0.25">
      <c r="A379" s="13"/>
      <c r="B379" s="7" t="str">
        <f>IF(Tabela22[[#This Row],[Data]]="","",PROPER(TEXT(Tabela22[[#This Row],[Data]],"mmm")))</f>
        <v/>
      </c>
      <c r="C379" s="1" t="str">
        <f>IF(Tabela22[[#This Row],[Data]]="","",PROPER(TEXT(Tabela22[[#This Row],[Data]],"ddd")))</f>
        <v/>
      </c>
      <c r="D379" s="9"/>
      <c r="E379" s="9"/>
      <c r="F379" s="9"/>
      <c r="G379" s="11"/>
      <c r="H379" s="9"/>
      <c r="I379" s="22"/>
      <c r="J379" s="24"/>
      <c r="K37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79" s="22"/>
    </row>
    <row r="380" spans="1:12" x14ac:dyDescent="0.25">
      <c r="A380" s="13"/>
      <c r="B380" s="7" t="str">
        <f>IF(Tabela22[[#This Row],[Data]]="","",PROPER(TEXT(Tabela22[[#This Row],[Data]],"mmm")))</f>
        <v/>
      </c>
      <c r="C380" s="1" t="str">
        <f>IF(Tabela22[[#This Row],[Data]]="","",PROPER(TEXT(Tabela22[[#This Row],[Data]],"ddd")))</f>
        <v/>
      </c>
      <c r="D380" s="9"/>
      <c r="E380" s="9"/>
      <c r="F380" s="9"/>
      <c r="G380" s="11"/>
      <c r="H380" s="9"/>
      <c r="I380" s="22"/>
      <c r="J380" s="24"/>
      <c r="K38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80" s="22"/>
    </row>
    <row r="381" spans="1:12" x14ac:dyDescent="0.25">
      <c r="A381" s="13"/>
      <c r="B381" s="7" t="str">
        <f>IF(Tabela22[[#This Row],[Data]]="","",PROPER(TEXT(Tabela22[[#This Row],[Data]],"mmm")))</f>
        <v/>
      </c>
      <c r="C381" s="1" t="str">
        <f>IF(Tabela22[[#This Row],[Data]]="","",PROPER(TEXT(Tabela22[[#This Row],[Data]],"ddd")))</f>
        <v/>
      </c>
      <c r="D381" s="9"/>
      <c r="E381" s="9"/>
      <c r="F381" s="9"/>
      <c r="G381" s="11"/>
      <c r="H381" s="9"/>
      <c r="I381" s="22"/>
      <c r="J381" s="24"/>
      <c r="K38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81" s="22"/>
    </row>
    <row r="382" spans="1:12" x14ac:dyDescent="0.25">
      <c r="A382" s="13"/>
      <c r="B382" s="7" t="str">
        <f>IF(Tabela22[[#This Row],[Data]]="","",PROPER(TEXT(Tabela22[[#This Row],[Data]],"mmm")))</f>
        <v/>
      </c>
      <c r="C382" s="1" t="str">
        <f>IF(Tabela22[[#This Row],[Data]]="","",PROPER(TEXT(Tabela22[[#This Row],[Data]],"ddd")))</f>
        <v/>
      </c>
      <c r="D382" s="9"/>
      <c r="E382" s="9"/>
      <c r="F382" s="9"/>
      <c r="G382" s="11"/>
      <c r="H382" s="9"/>
      <c r="I382" s="22"/>
      <c r="J382" s="24"/>
      <c r="K38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82" s="22"/>
    </row>
    <row r="383" spans="1:12" x14ac:dyDescent="0.25">
      <c r="A383" s="13"/>
      <c r="B383" s="7" t="str">
        <f>IF(Tabela22[[#This Row],[Data]]="","",PROPER(TEXT(Tabela22[[#This Row],[Data]],"mmm")))</f>
        <v/>
      </c>
      <c r="C383" s="1" t="str">
        <f>IF(Tabela22[[#This Row],[Data]]="","",PROPER(TEXT(Tabela22[[#This Row],[Data]],"ddd")))</f>
        <v/>
      </c>
      <c r="D383" s="9"/>
      <c r="E383" s="9"/>
      <c r="F383" s="9"/>
      <c r="G383" s="11"/>
      <c r="H383" s="9"/>
      <c r="I383" s="22"/>
      <c r="J383" s="24"/>
      <c r="K38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83" s="22"/>
    </row>
    <row r="384" spans="1:12" x14ac:dyDescent="0.25">
      <c r="A384" s="13"/>
      <c r="B384" s="7" t="str">
        <f>IF(Tabela22[[#This Row],[Data]]="","",PROPER(TEXT(Tabela22[[#This Row],[Data]],"mmm")))</f>
        <v/>
      </c>
      <c r="C384" s="1" t="str">
        <f>IF(Tabela22[[#This Row],[Data]]="","",PROPER(TEXT(Tabela22[[#This Row],[Data]],"ddd")))</f>
        <v/>
      </c>
      <c r="D384" s="9"/>
      <c r="E384" s="9"/>
      <c r="F384" s="9"/>
      <c r="G384" s="11"/>
      <c r="H384" s="9"/>
      <c r="I384" s="22"/>
      <c r="J384" s="24"/>
      <c r="K38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84" s="22"/>
    </row>
    <row r="385" spans="1:12" x14ac:dyDescent="0.25">
      <c r="A385" s="13"/>
      <c r="B385" s="7" t="str">
        <f>IF(Tabela22[[#This Row],[Data]]="","",PROPER(TEXT(Tabela22[[#This Row],[Data]],"mmm")))</f>
        <v/>
      </c>
      <c r="C385" s="1" t="str">
        <f>IF(Tabela22[[#This Row],[Data]]="","",PROPER(TEXT(Tabela22[[#This Row],[Data]],"ddd")))</f>
        <v/>
      </c>
      <c r="D385" s="9"/>
      <c r="E385" s="9"/>
      <c r="F385" s="9"/>
      <c r="G385" s="11"/>
      <c r="H385" s="9"/>
      <c r="I385" s="22"/>
      <c r="J385" s="24"/>
      <c r="K38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85" s="22"/>
    </row>
    <row r="386" spans="1:12" x14ac:dyDescent="0.25">
      <c r="A386" s="13"/>
      <c r="B386" s="7" t="str">
        <f>IF(Tabela22[[#This Row],[Data]]="","",PROPER(TEXT(Tabela22[[#This Row],[Data]],"mmm")))</f>
        <v/>
      </c>
      <c r="C386" s="1" t="str">
        <f>IF(Tabela22[[#This Row],[Data]]="","",PROPER(TEXT(Tabela22[[#This Row],[Data]],"ddd")))</f>
        <v/>
      </c>
      <c r="D386" s="9"/>
      <c r="E386" s="9"/>
      <c r="F386" s="9"/>
      <c r="G386" s="11"/>
      <c r="H386" s="9"/>
      <c r="I386" s="22"/>
      <c r="J386" s="24"/>
      <c r="K38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86" s="22"/>
    </row>
    <row r="387" spans="1:12" x14ac:dyDescent="0.25">
      <c r="A387" s="13"/>
      <c r="B387" s="7" t="str">
        <f>IF(Tabela22[[#This Row],[Data]]="","",PROPER(TEXT(Tabela22[[#This Row],[Data]],"mmm")))</f>
        <v/>
      </c>
      <c r="C387" s="1" t="str">
        <f>IF(Tabela22[[#This Row],[Data]]="","",PROPER(TEXT(Tabela22[[#This Row],[Data]],"ddd")))</f>
        <v/>
      </c>
      <c r="D387" s="9"/>
      <c r="E387" s="9"/>
      <c r="F387" s="9"/>
      <c r="G387" s="11"/>
      <c r="H387" s="9"/>
      <c r="I387" s="22"/>
      <c r="J387" s="24"/>
      <c r="K38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87" s="22"/>
    </row>
    <row r="388" spans="1:12" x14ac:dyDescent="0.25">
      <c r="A388" s="13"/>
      <c r="B388" s="7" t="str">
        <f>IF(Tabela22[[#This Row],[Data]]="","",PROPER(TEXT(Tabela22[[#This Row],[Data]],"mmm")))</f>
        <v/>
      </c>
      <c r="C388" s="1" t="str">
        <f>IF(Tabela22[[#This Row],[Data]]="","",PROPER(TEXT(Tabela22[[#This Row],[Data]],"ddd")))</f>
        <v/>
      </c>
      <c r="D388" s="9"/>
      <c r="E388" s="9"/>
      <c r="F388" s="9"/>
      <c r="G388" s="11"/>
      <c r="H388" s="9"/>
      <c r="I388" s="22"/>
      <c r="J388" s="24"/>
      <c r="K38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88" s="22"/>
    </row>
    <row r="389" spans="1:12" x14ac:dyDescent="0.25">
      <c r="A389" s="13"/>
      <c r="B389" s="7" t="str">
        <f>IF(Tabela22[[#This Row],[Data]]="","",PROPER(TEXT(Tabela22[[#This Row],[Data]],"mmm")))</f>
        <v/>
      </c>
      <c r="C389" s="1" t="str">
        <f>IF(Tabela22[[#This Row],[Data]]="","",PROPER(TEXT(Tabela22[[#This Row],[Data]],"ddd")))</f>
        <v/>
      </c>
      <c r="D389" s="9"/>
      <c r="E389" s="9"/>
      <c r="F389" s="9"/>
      <c r="G389" s="11"/>
      <c r="H389" s="9"/>
      <c r="I389" s="22"/>
      <c r="J389" s="24"/>
      <c r="K38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89" s="22"/>
    </row>
    <row r="390" spans="1:12" x14ac:dyDescent="0.25">
      <c r="A390" s="13"/>
      <c r="B390" s="7" t="str">
        <f>IF(Tabela22[[#This Row],[Data]]="","",PROPER(TEXT(Tabela22[[#This Row],[Data]],"mmm")))</f>
        <v/>
      </c>
      <c r="C390" s="1" t="str">
        <f>IF(Tabela22[[#This Row],[Data]]="","",PROPER(TEXT(Tabela22[[#This Row],[Data]],"ddd")))</f>
        <v/>
      </c>
      <c r="D390" s="9"/>
      <c r="E390" s="9"/>
      <c r="F390" s="9"/>
      <c r="G390" s="11"/>
      <c r="H390" s="9"/>
      <c r="I390" s="22"/>
      <c r="J390" s="24"/>
      <c r="K39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90" s="22"/>
    </row>
    <row r="391" spans="1:12" x14ac:dyDescent="0.25">
      <c r="A391" s="13"/>
      <c r="B391" s="7" t="str">
        <f>IF(Tabela22[[#This Row],[Data]]="","",PROPER(TEXT(Tabela22[[#This Row],[Data]],"mmm")))</f>
        <v/>
      </c>
      <c r="C391" s="1" t="str">
        <f>IF(Tabela22[[#This Row],[Data]]="","",PROPER(TEXT(Tabela22[[#This Row],[Data]],"ddd")))</f>
        <v/>
      </c>
      <c r="D391" s="9"/>
      <c r="E391" s="9"/>
      <c r="F391" s="9"/>
      <c r="G391" s="11"/>
      <c r="H391" s="9"/>
      <c r="I391" s="22"/>
      <c r="J391" s="24"/>
      <c r="K39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91" s="22"/>
    </row>
    <row r="392" spans="1:12" x14ac:dyDescent="0.25">
      <c r="A392" s="13"/>
      <c r="B392" s="7" t="str">
        <f>IF(Tabela22[[#This Row],[Data]]="","",PROPER(TEXT(Tabela22[[#This Row],[Data]],"mmm")))</f>
        <v/>
      </c>
      <c r="C392" s="1" t="str">
        <f>IF(Tabela22[[#This Row],[Data]]="","",PROPER(TEXT(Tabela22[[#This Row],[Data]],"ddd")))</f>
        <v/>
      </c>
      <c r="D392" s="9"/>
      <c r="E392" s="9"/>
      <c r="F392" s="9"/>
      <c r="G392" s="11"/>
      <c r="H392" s="9"/>
      <c r="I392" s="22"/>
      <c r="J392" s="24"/>
      <c r="K39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92" s="22"/>
    </row>
    <row r="393" spans="1:12" x14ac:dyDescent="0.25">
      <c r="A393" s="13"/>
      <c r="B393" s="7" t="str">
        <f>IF(Tabela22[[#This Row],[Data]]="","",PROPER(TEXT(Tabela22[[#This Row],[Data]],"mmm")))</f>
        <v/>
      </c>
      <c r="C393" s="1" t="str">
        <f>IF(Tabela22[[#This Row],[Data]]="","",PROPER(TEXT(Tabela22[[#This Row],[Data]],"ddd")))</f>
        <v/>
      </c>
      <c r="D393" s="9"/>
      <c r="E393" s="9"/>
      <c r="F393" s="9"/>
      <c r="G393" s="11"/>
      <c r="H393" s="9"/>
      <c r="I393" s="22"/>
      <c r="J393" s="24"/>
      <c r="K39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93" s="22"/>
    </row>
    <row r="394" spans="1:12" x14ac:dyDescent="0.25">
      <c r="A394" s="13"/>
      <c r="B394" s="7" t="str">
        <f>IF(Tabela22[[#This Row],[Data]]="","",PROPER(TEXT(Tabela22[[#This Row],[Data]],"mmm")))</f>
        <v/>
      </c>
      <c r="C394" s="1" t="str">
        <f>IF(Tabela22[[#This Row],[Data]]="","",PROPER(TEXT(Tabela22[[#This Row],[Data]],"ddd")))</f>
        <v/>
      </c>
      <c r="D394" s="9"/>
      <c r="E394" s="9"/>
      <c r="F394" s="9"/>
      <c r="G394" s="11"/>
      <c r="H394" s="9"/>
      <c r="I394" s="22"/>
      <c r="J394" s="24"/>
      <c r="K39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94" s="22"/>
    </row>
    <row r="395" spans="1:12" x14ac:dyDescent="0.25">
      <c r="A395" s="13"/>
      <c r="B395" s="7" t="str">
        <f>IF(Tabela22[[#This Row],[Data]]="","",PROPER(TEXT(Tabela22[[#This Row],[Data]],"mmm")))</f>
        <v/>
      </c>
      <c r="C395" s="1" t="str">
        <f>IF(Tabela22[[#This Row],[Data]]="","",PROPER(TEXT(Tabela22[[#This Row],[Data]],"ddd")))</f>
        <v/>
      </c>
      <c r="D395" s="9"/>
      <c r="E395" s="9"/>
      <c r="F395" s="9"/>
      <c r="G395" s="11"/>
      <c r="H395" s="9"/>
      <c r="I395" s="22"/>
      <c r="J395" s="24"/>
      <c r="K39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95" s="22"/>
    </row>
    <row r="396" spans="1:12" x14ac:dyDescent="0.25">
      <c r="A396" s="13"/>
      <c r="B396" s="7" t="str">
        <f>IF(Tabela22[[#This Row],[Data]]="","",PROPER(TEXT(Tabela22[[#This Row],[Data]],"mmm")))</f>
        <v/>
      </c>
      <c r="C396" s="1" t="str">
        <f>IF(Tabela22[[#This Row],[Data]]="","",PROPER(TEXT(Tabela22[[#This Row],[Data]],"ddd")))</f>
        <v/>
      </c>
      <c r="D396" s="9"/>
      <c r="E396" s="9"/>
      <c r="F396" s="9"/>
      <c r="G396" s="11"/>
      <c r="H396" s="9"/>
      <c r="I396" s="22"/>
      <c r="J396" s="24"/>
      <c r="K39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96" s="22"/>
    </row>
    <row r="397" spans="1:12" x14ac:dyDescent="0.25">
      <c r="A397" s="13"/>
      <c r="B397" s="7" t="str">
        <f>IF(Tabela22[[#This Row],[Data]]="","",PROPER(TEXT(Tabela22[[#This Row],[Data]],"mmm")))</f>
        <v/>
      </c>
      <c r="C397" s="1" t="str">
        <f>IF(Tabela22[[#This Row],[Data]]="","",PROPER(TEXT(Tabela22[[#This Row],[Data]],"ddd")))</f>
        <v/>
      </c>
      <c r="D397" s="9"/>
      <c r="E397" s="9"/>
      <c r="F397" s="9"/>
      <c r="G397" s="11"/>
      <c r="H397" s="9"/>
      <c r="I397" s="22"/>
      <c r="J397" s="24"/>
      <c r="K39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97" s="22"/>
    </row>
    <row r="398" spans="1:12" x14ac:dyDescent="0.25">
      <c r="A398" s="13"/>
      <c r="B398" s="7" t="str">
        <f>IF(Tabela22[[#This Row],[Data]]="","",PROPER(TEXT(Tabela22[[#This Row],[Data]],"mmm")))</f>
        <v/>
      </c>
      <c r="C398" s="1" t="str">
        <f>IF(Tabela22[[#This Row],[Data]]="","",PROPER(TEXT(Tabela22[[#This Row],[Data]],"ddd")))</f>
        <v/>
      </c>
      <c r="D398" s="9"/>
      <c r="E398" s="9"/>
      <c r="F398" s="9"/>
      <c r="G398" s="11"/>
      <c r="H398" s="9"/>
      <c r="I398" s="22"/>
      <c r="J398" s="24"/>
      <c r="K39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98" s="22"/>
    </row>
    <row r="399" spans="1:12" x14ac:dyDescent="0.25">
      <c r="A399" s="13"/>
      <c r="B399" s="7" t="str">
        <f>IF(Tabela22[[#This Row],[Data]]="","",PROPER(TEXT(Tabela22[[#This Row],[Data]],"mmm")))</f>
        <v/>
      </c>
      <c r="C399" s="1" t="str">
        <f>IF(Tabela22[[#This Row],[Data]]="","",PROPER(TEXT(Tabela22[[#This Row],[Data]],"ddd")))</f>
        <v/>
      </c>
      <c r="D399" s="9"/>
      <c r="E399" s="9"/>
      <c r="F399" s="9"/>
      <c r="G399" s="11"/>
      <c r="H399" s="9"/>
      <c r="I399" s="22"/>
      <c r="J399" s="24"/>
      <c r="K39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399" s="22"/>
    </row>
    <row r="400" spans="1:12" x14ac:dyDescent="0.25">
      <c r="A400" s="13"/>
      <c r="B400" s="7" t="str">
        <f>IF(Tabela22[[#This Row],[Data]]="","",PROPER(TEXT(Tabela22[[#This Row],[Data]],"mmm")))</f>
        <v/>
      </c>
      <c r="C400" s="1" t="str">
        <f>IF(Tabela22[[#This Row],[Data]]="","",PROPER(TEXT(Tabela22[[#This Row],[Data]],"ddd")))</f>
        <v/>
      </c>
      <c r="D400" s="9"/>
      <c r="E400" s="9"/>
      <c r="F400" s="9"/>
      <c r="G400" s="11"/>
      <c r="H400" s="9"/>
      <c r="I400" s="22"/>
      <c r="J400" s="24"/>
      <c r="K40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00" s="22"/>
    </row>
    <row r="401" spans="1:12" x14ac:dyDescent="0.25">
      <c r="A401" s="13"/>
      <c r="B401" s="7" t="str">
        <f>IF(Tabela22[[#This Row],[Data]]="","",PROPER(TEXT(Tabela22[[#This Row],[Data]],"mmm")))</f>
        <v/>
      </c>
      <c r="C401" s="1" t="str">
        <f>IF(Tabela22[[#This Row],[Data]]="","",PROPER(TEXT(Tabela22[[#This Row],[Data]],"ddd")))</f>
        <v/>
      </c>
      <c r="D401" s="9"/>
      <c r="E401" s="9"/>
      <c r="F401" s="9"/>
      <c r="G401" s="11"/>
      <c r="H401" s="9"/>
      <c r="I401" s="22"/>
      <c r="J401" s="24"/>
      <c r="K40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01" s="22"/>
    </row>
    <row r="402" spans="1:12" x14ac:dyDescent="0.25">
      <c r="A402" s="13"/>
      <c r="B402" s="7" t="str">
        <f>IF(Tabela22[[#This Row],[Data]]="","",PROPER(TEXT(Tabela22[[#This Row],[Data]],"mmm")))</f>
        <v/>
      </c>
      <c r="C402" s="1" t="str">
        <f>IF(Tabela22[[#This Row],[Data]]="","",PROPER(TEXT(Tabela22[[#This Row],[Data]],"ddd")))</f>
        <v/>
      </c>
      <c r="D402" s="9"/>
      <c r="E402" s="9"/>
      <c r="F402" s="9"/>
      <c r="G402" s="11"/>
      <c r="H402" s="9"/>
      <c r="I402" s="22"/>
      <c r="J402" s="24"/>
      <c r="K40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02" s="22"/>
    </row>
    <row r="403" spans="1:12" x14ac:dyDescent="0.25">
      <c r="A403" s="13"/>
      <c r="B403" s="7" t="str">
        <f>IF(Tabela22[[#This Row],[Data]]="","",PROPER(TEXT(Tabela22[[#This Row],[Data]],"mmm")))</f>
        <v/>
      </c>
      <c r="C403" s="1" t="str">
        <f>IF(Tabela22[[#This Row],[Data]]="","",PROPER(TEXT(Tabela22[[#This Row],[Data]],"ddd")))</f>
        <v/>
      </c>
      <c r="D403" s="9"/>
      <c r="E403" s="9"/>
      <c r="F403" s="9"/>
      <c r="G403" s="11"/>
      <c r="H403" s="9"/>
      <c r="I403" s="22"/>
      <c r="J403" s="24"/>
      <c r="K40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03" s="22"/>
    </row>
    <row r="404" spans="1:12" x14ac:dyDescent="0.25">
      <c r="A404" s="13"/>
      <c r="B404" s="7" t="str">
        <f>IF(Tabela22[[#This Row],[Data]]="","",PROPER(TEXT(Tabela22[[#This Row],[Data]],"mmm")))</f>
        <v/>
      </c>
      <c r="C404" s="1" t="str">
        <f>IF(Tabela22[[#This Row],[Data]]="","",PROPER(TEXT(Tabela22[[#This Row],[Data]],"ddd")))</f>
        <v/>
      </c>
      <c r="D404" s="9"/>
      <c r="E404" s="9"/>
      <c r="F404" s="9"/>
      <c r="G404" s="11"/>
      <c r="H404" s="9"/>
      <c r="I404" s="22"/>
      <c r="J404" s="24"/>
      <c r="K40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04" s="22"/>
    </row>
    <row r="405" spans="1:12" x14ac:dyDescent="0.25">
      <c r="A405" s="13"/>
      <c r="B405" s="7" t="str">
        <f>IF(Tabela22[[#This Row],[Data]]="","",PROPER(TEXT(Tabela22[[#This Row],[Data]],"mmm")))</f>
        <v/>
      </c>
      <c r="C405" s="1" t="str">
        <f>IF(Tabela22[[#This Row],[Data]]="","",PROPER(TEXT(Tabela22[[#This Row],[Data]],"ddd")))</f>
        <v/>
      </c>
      <c r="D405" s="9"/>
      <c r="E405" s="9"/>
      <c r="F405" s="9"/>
      <c r="G405" s="11"/>
      <c r="H405" s="9"/>
      <c r="I405" s="22"/>
      <c r="J405" s="24"/>
      <c r="K40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05" s="22"/>
    </row>
    <row r="406" spans="1:12" x14ac:dyDescent="0.25">
      <c r="A406" s="13"/>
      <c r="B406" s="7" t="str">
        <f>IF(Tabela22[[#This Row],[Data]]="","",PROPER(TEXT(Tabela22[[#This Row],[Data]],"mmm")))</f>
        <v/>
      </c>
      <c r="C406" s="1" t="str">
        <f>IF(Tabela22[[#This Row],[Data]]="","",PROPER(TEXT(Tabela22[[#This Row],[Data]],"ddd")))</f>
        <v/>
      </c>
      <c r="D406" s="9"/>
      <c r="E406" s="9"/>
      <c r="F406" s="9"/>
      <c r="G406" s="11"/>
      <c r="H406" s="9"/>
      <c r="I406" s="22"/>
      <c r="J406" s="24"/>
      <c r="K40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06" s="22"/>
    </row>
    <row r="407" spans="1:12" x14ac:dyDescent="0.25">
      <c r="A407" s="13"/>
      <c r="B407" s="7" t="str">
        <f>IF(Tabela22[[#This Row],[Data]]="","",PROPER(TEXT(Tabela22[[#This Row],[Data]],"mmm")))</f>
        <v/>
      </c>
      <c r="C407" s="1" t="str">
        <f>IF(Tabela22[[#This Row],[Data]]="","",PROPER(TEXT(Tabela22[[#This Row],[Data]],"ddd")))</f>
        <v/>
      </c>
      <c r="D407" s="9"/>
      <c r="E407" s="9"/>
      <c r="F407" s="9"/>
      <c r="G407" s="11"/>
      <c r="H407" s="9"/>
      <c r="I407" s="22"/>
      <c r="J407" s="24"/>
      <c r="K40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07" s="22"/>
    </row>
    <row r="408" spans="1:12" x14ac:dyDescent="0.25">
      <c r="A408" s="13"/>
      <c r="B408" s="7" t="str">
        <f>IF(Tabela22[[#This Row],[Data]]="","",PROPER(TEXT(Tabela22[[#This Row],[Data]],"mmm")))</f>
        <v/>
      </c>
      <c r="C408" s="1" t="str">
        <f>IF(Tabela22[[#This Row],[Data]]="","",PROPER(TEXT(Tabela22[[#This Row],[Data]],"ddd")))</f>
        <v/>
      </c>
      <c r="D408" s="9"/>
      <c r="E408" s="9"/>
      <c r="F408" s="9"/>
      <c r="G408" s="11"/>
      <c r="H408" s="9"/>
      <c r="I408" s="22"/>
      <c r="J408" s="24"/>
      <c r="K40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08" s="22"/>
    </row>
    <row r="409" spans="1:12" x14ac:dyDescent="0.25">
      <c r="A409" s="13"/>
      <c r="B409" s="7" t="str">
        <f>IF(Tabela22[[#This Row],[Data]]="","",PROPER(TEXT(Tabela22[[#This Row],[Data]],"mmm")))</f>
        <v/>
      </c>
      <c r="C409" s="1" t="str">
        <f>IF(Tabela22[[#This Row],[Data]]="","",PROPER(TEXT(Tabela22[[#This Row],[Data]],"ddd")))</f>
        <v/>
      </c>
      <c r="D409" s="9"/>
      <c r="E409" s="9"/>
      <c r="F409" s="9"/>
      <c r="G409" s="11"/>
      <c r="H409" s="9"/>
      <c r="I409" s="22"/>
      <c r="J409" s="24"/>
      <c r="K40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09" s="22"/>
    </row>
    <row r="410" spans="1:12" x14ac:dyDescent="0.25">
      <c r="A410" s="13"/>
      <c r="B410" s="7" t="str">
        <f>IF(Tabela22[[#This Row],[Data]]="","",PROPER(TEXT(Tabela22[[#This Row],[Data]],"mmm")))</f>
        <v/>
      </c>
      <c r="C410" s="1" t="str">
        <f>IF(Tabela22[[#This Row],[Data]]="","",PROPER(TEXT(Tabela22[[#This Row],[Data]],"ddd")))</f>
        <v/>
      </c>
      <c r="D410" s="9"/>
      <c r="E410" s="9"/>
      <c r="F410" s="9"/>
      <c r="G410" s="11"/>
      <c r="H410" s="9"/>
      <c r="I410" s="22"/>
      <c r="J410" s="24"/>
      <c r="K41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10" s="22"/>
    </row>
    <row r="411" spans="1:12" x14ac:dyDescent="0.25">
      <c r="A411" s="13"/>
      <c r="B411" s="7" t="str">
        <f>IF(Tabela22[[#This Row],[Data]]="","",PROPER(TEXT(Tabela22[[#This Row],[Data]],"mmm")))</f>
        <v/>
      </c>
      <c r="C411" s="1" t="str">
        <f>IF(Tabela22[[#This Row],[Data]]="","",PROPER(TEXT(Tabela22[[#This Row],[Data]],"ddd")))</f>
        <v/>
      </c>
      <c r="D411" s="9"/>
      <c r="E411" s="9"/>
      <c r="F411" s="9"/>
      <c r="G411" s="11"/>
      <c r="H411" s="9"/>
      <c r="I411" s="22"/>
      <c r="J411" s="24"/>
      <c r="K41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11" s="22"/>
    </row>
    <row r="412" spans="1:12" x14ac:dyDescent="0.25">
      <c r="A412" s="13"/>
      <c r="B412" s="7" t="str">
        <f>IF(Tabela22[[#This Row],[Data]]="","",PROPER(TEXT(Tabela22[[#This Row],[Data]],"mmm")))</f>
        <v/>
      </c>
      <c r="C412" s="1" t="str">
        <f>IF(Tabela22[[#This Row],[Data]]="","",PROPER(TEXT(Tabela22[[#This Row],[Data]],"ddd")))</f>
        <v/>
      </c>
      <c r="D412" s="9"/>
      <c r="E412" s="9"/>
      <c r="F412" s="9"/>
      <c r="G412" s="11"/>
      <c r="H412" s="9"/>
      <c r="I412" s="22"/>
      <c r="J412" s="24"/>
      <c r="K41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12" s="22"/>
    </row>
    <row r="413" spans="1:12" x14ac:dyDescent="0.25">
      <c r="A413" s="13"/>
      <c r="B413" s="7" t="str">
        <f>IF(Tabela22[[#This Row],[Data]]="","",PROPER(TEXT(Tabela22[[#This Row],[Data]],"mmm")))</f>
        <v/>
      </c>
      <c r="C413" s="1" t="str">
        <f>IF(Tabela22[[#This Row],[Data]]="","",PROPER(TEXT(Tabela22[[#This Row],[Data]],"ddd")))</f>
        <v/>
      </c>
      <c r="D413" s="9"/>
      <c r="E413" s="9"/>
      <c r="F413" s="9"/>
      <c r="G413" s="11"/>
      <c r="H413" s="9"/>
      <c r="I413" s="22"/>
      <c r="J413" s="24"/>
      <c r="K41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13" s="22"/>
    </row>
    <row r="414" spans="1:12" x14ac:dyDescent="0.25">
      <c r="A414" s="13"/>
      <c r="B414" s="7" t="str">
        <f>IF(Tabela22[[#This Row],[Data]]="","",PROPER(TEXT(Tabela22[[#This Row],[Data]],"mmm")))</f>
        <v/>
      </c>
      <c r="C414" s="1" t="str">
        <f>IF(Tabela22[[#This Row],[Data]]="","",PROPER(TEXT(Tabela22[[#This Row],[Data]],"ddd")))</f>
        <v/>
      </c>
      <c r="D414" s="9"/>
      <c r="E414" s="9"/>
      <c r="F414" s="9"/>
      <c r="G414" s="11"/>
      <c r="H414" s="9"/>
      <c r="I414" s="22"/>
      <c r="J414" s="24"/>
      <c r="K41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14" s="22"/>
    </row>
    <row r="415" spans="1:12" x14ac:dyDescent="0.25">
      <c r="A415" s="13"/>
      <c r="B415" s="7" t="str">
        <f>IF(Tabela22[[#This Row],[Data]]="","",PROPER(TEXT(Tabela22[[#This Row],[Data]],"mmm")))</f>
        <v/>
      </c>
      <c r="C415" s="1" t="str">
        <f>IF(Tabela22[[#This Row],[Data]]="","",PROPER(TEXT(Tabela22[[#This Row],[Data]],"ddd")))</f>
        <v/>
      </c>
      <c r="D415" s="9"/>
      <c r="E415" s="9"/>
      <c r="F415" s="9"/>
      <c r="G415" s="11"/>
      <c r="H415" s="9"/>
      <c r="I415" s="22"/>
      <c r="J415" s="24"/>
      <c r="K41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15" s="22"/>
    </row>
    <row r="416" spans="1:12" x14ac:dyDescent="0.25">
      <c r="A416" s="13"/>
      <c r="B416" s="7" t="str">
        <f>IF(Tabela22[[#This Row],[Data]]="","",PROPER(TEXT(Tabela22[[#This Row],[Data]],"mmm")))</f>
        <v/>
      </c>
      <c r="C416" s="1" t="str">
        <f>IF(Tabela22[[#This Row],[Data]]="","",PROPER(TEXT(Tabela22[[#This Row],[Data]],"ddd")))</f>
        <v/>
      </c>
      <c r="D416" s="9"/>
      <c r="E416" s="9"/>
      <c r="F416" s="9"/>
      <c r="G416" s="11"/>
      <c r="H416" s="9"/>
      <c r="I416" s="22"/>
      <c r="J416" s="24"/>
      <c r="K41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16" s="22"/>
    </row>
    <row r="417" spans="1:12" x14ac:dyDescent="0.25">
      <c r="A417" s="13"/>
      <c r="B417" s="7" t="str">
        <f>IF(Tabela22[[#This Row],[Data]]="","",PROPER(TEXT(Tabela22[[#This Row],[Data]],"mmm")))</f>
        <v/>
      </c>
      <c r="C417" s="1" t="str">
        <f>IF(Tabela22[[#This Row],[Data]]="","",PROPER(TEXT(Tabela22[[#This Row],[Data]],"ddd")))</f>
        <v/>
      </c>
      <c r="D417" s="9"/>
      <c r="E417" s="9"/>
      <c r="F417" s="9"/>
      <c r="G417" s="11"/>
      <c r="H417" s="9"/>
      <c r="I417" s="22"/>
      <c r="J417" s="24"/>
      <c r="K41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17" s="22"/>
    </row>
    <row r="418" spans="1:12" x14ac:dyDescent="0.25">
      <c r="A418" s="13"/>
      <c r="B418" s="7" t="str">
        <f>IF(Tabela22[[#This Row],[Data]]="","",PROPER(TEXT(Tabela22[[#This Row],[Data]],"mmm")))</f>
        <v/>
      </c>
      <c r="C418" s="1" t="str">
        <f>IF(Tabela22[[#This Row],[Data]]="","",PROPER(TEXT(Tabela22[[#This Row],[Data]],"ddd")))</f>
        <v/>
      </c>
      <c r="D418" s="9"/>
      <c r="E418" s="9"/>
      <c r="F418" s="9"/>
      <c r="G418" s="11"/>
      <c r="H418" s="9"/>
      <c r="I418" s="22"/>
      <c r="J418" s="24"/>
      <c r="K41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18" s="22"/>
    </row>
    <row r="419" spans="1:12" x14ac:dyDescent="0.25">
      <c r="A419" s="13"/>
      <c r="B419" s="7" t="str">
        <f>IF(Tabela22[[#This Row],[Data]]="","",PROPER(TEXT(Tabela22[[#This Row],[Data]],"mmm")))</f>
        <v/>
      </c>
      <c r="C419" s="1" t="str">
        <f>IF(Tabela22[[#This Row],[Data]]="","",PROPER(TEXT(Tabela22[[#This Row],[Data]],"ddd")))</f>
        <v/>
      </c>
      <c r="D419" s="9"/>
      <c r="E419" s="9"/>
      <c r="F419" s="9"/>
      <c r="G419" s="11"/>
      <c r="H419" s="9"/>
      <c r="I419" s="22"/>
      <c r="J419" s="24"/>
      <c r="K41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19" s="22"/>
    </row>
    <row r="420" spans="1:12" x14ac:dyDescent="0.25">
      <c r="A420" s="13"/>
      <c r="B420" s="7" t="str">
        <f>IF(Tabela22[[#This Row],[Data]]="","",PROPER(TEXT(Tabela22[[#This Row],[Data]],"mmm")))</f>
        <v/>
      </c>
      <c r="C420" s="1" t="str">
        <f>IF(Tabela22[[#This Row],[Data]]="","",PROPER(TEXT(Tabela22[[#This Row],[Data]],"ddd")))</f>
        <v/>
      </c>
      <c r="D420" s="9"/>
      <c r="E420" s="9"/>
      <c r="F420" s="9"/>
      <c r="G420" s="11"/>
      <c r="H420" s="9"/>
      <c r="I420" s="22"/>
      <c r="J420" s="24"/>
      <c r="K42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20" s="22"/>
    </row>
    <row r="421" spans="1:12" x14ac:dyDescent="0.25">
      <c r="A421" s="13"/>
      <c r="B421" s="7" t="str">
        <f>IF(Tabela22[[#This Row],[Data]]="","",PROPER(TEXT(Tabela22[[#This Row],[Data]],"mmm")))</f>
        <v/>
      </c>
      <c r="C421" s="1" t="str">
        <f>IF(Tabela22[[#This Row],[Data]]="","",PROPER(TEXT(Tabela22[[#This Row],[Data]],"ddd")))</f>
        <v/>
      </c>
      <c r="D421" s="9"/>
      <c r="E421" s="9"/>
      <c r="F421" s="9"/>
      <c r="G421" s="11"/>
      <c r="H421" s="9"/>
      <c r="I421" s="22"/>
      <c r="J421" s="24"/>
      <c r="K42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21" s="22"/>
    </row>
    <row r="422" spans="1:12" x14ac:dyDescent="0.25">
      <c r="A422" s="13"/>
      <c r="B422" s="7" t="str">
        <f>IF(Tabela22[[#This Row],[Data]]="","",PROPER(TEXT(Tabela22[[#This Row],[Data]],"mmm")))</f>
        <v/>
      </c>
      <c r="C422" s="1" t="str">
        <f>IF(Tabela22[[#This Row],[Data]]="","",PROPER(TEXT(Tabela22[[#This Row],[Data]],"ddd")))</f>
        <v/>
      </c>
      <c r="D422" s="9"/>
      <c r="E422" s="9"/>
      <c r="F422" s="9"/>
      <c r="G422" s="11"/>
      <c r="H422" s="9"/>
      <c r="I422" s="22"/>
      <c r="J422" s="24"/>
      <c r="K42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22" s="22"/>
    </row>
    <row r="423" spans="1:12" x14ac:dyDescent="0.25">
      <c r="A423" s="13"/>
      <c r="B423" s="7" t="str">
        <f>IF(Tabela22[[#This Row],[Data]]="","",PROPER(TEXT(Tabela22[[#This Row],[Data]],"mmm")))</f>
        <v/>
      </c>
      <c r="C423" s="1" t="str">
        <f>IF(Tabela22[[#This Row],[Data]]="","",PROPER(TEXT(Tabela22[[#This Row],[Data]],"ddd")))</f>
        <v/>
      </c>
      <c r="D423" s="9"/>
      <c r="E423" s="9"/>
      <c r="F423" s="9"/>
      <c r="G423" s="11"/>
      <c r="H423" s="9"/>
      <c r="I423" s="22"/>
      <c r="J423" s="24"/>
      <c r="K42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23" s="22"/>
    </row>
    <row r="424" spans="1:12" x14ac:dyDescent="0.25">
      <c r="A424" s="13"/>
      <c r="B424" s="7" t="str">
        <f>IF(Tabela22[[#This Row],[Data]]="","",PROPER(TEXT(Tabela22[[#This Row],[Data]],"mmm")))</f>
        <v/>
      </c>
      <c r="C424" s="1" t="str">
        <f>IF(Tabela22[[#This Row],[Data]]="","",PROPER(TEXT(Tabela22[[#This Row],[Data]],"ddd")))</f>
        <v/>
      </c>
      <c r="D424" s="9"/>
      <c r="E424" s="9"/>
      <c r="F424" s="9"/>
      <c r="G424" s="11"/>
      <c r="H424" s="9"/>
      <c r="I424" s="22"/>
      <c r="J424" s="24"/>
      <c r="K42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24" s="22"/>
    </row>
    <row r="425" spans="1:12" x14ac:dyDescent="0.25">
      <c r="A425" s="13"/>
      <c r="B425" s="7" t="str">
        <f>IF(Tabela22[[#This Row],[Data]]="","",PROPER(TEXT(Tabela22[[#This Row],[Data]],"mmm")))</f>
        <v/>
      </c>
      <c r="C425" s="1" t="str">
        <f>IF(Tabela22[[#This Row],[Data]]="","",PROPER(TEXT(Tabela22[[#This Row],[Data]],"ddd")))</f>
        <v/>
      </c>
      <c r="D425" s="9"/>
      <c r="E425" s="9"/>
      <c r="F425" s="9"/>
      <c r="G425" s="11"/>
      <c r="H425" s="9"/>
      <c r="I425" s="22"/>
      <c r="J425" s="24"/>
      <c r="K42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25" s="22"/>
    </row>
    <row r="426" spans="1:12" x14ac:dyDescent="0.25">
      <c r="A426" s="13"/>
      <c r="B426" s="7" t="str">
        <f>IF(Tabela22[[#This Row],[Data]]="","",PROPER(TEXT(Tabela22[[#This Row],[Data]],"mmm")))</f>
        <v/>
      </c>
      <c r="C426" s="1" t="str">
        <f>IF(Tabela22[[#This Row],[Data]]="","",PROPER(TEXT(Tabela22[[#This Row],[Data]],"ddd")))</f>
        <v/>
      </c>
      <c r="D426" s="9"/>
      <c r="E426" s="9"/>
      <c r="F426" s="9"/>
      <c r="G426" s="11"/>
      <c r="H426" s="9"/>
      <c r="I426" s="22"/>
      <c r="J426" s="24"/>
      <c r="K42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26" s="22"/>
    </row>
    <row r="427" spans="1:12" x14ac:dyDescent="0.25">
      <c r="A427" s="13"/>
      <c r="B427" s="7" t="str">
        <f>IF(Tabela22[[#This Row],[Data]]="","",PROPER(TEXT(Tabela22[[#This Row],[Data]],"mmm")))</f>
        <v/>
      </c>
      <c r="C427" s="1" t="str">
        <f>IF(Tabela22[[#This Row],[Data]]="","",PROPER(TEXT(Tabela22[[#This Row],[Data]],"ddd")))</f>
        <v/>
      </c>
      <c r="D427" s="9"/>
      <c r="E427" s="9"/>
      <c r="F427" s="9"/>
      <c r="G427" s="11"/>
      <c r="H427" s="9"/>
      <c r="I427" s="22"/>
      <c r="J427" s="24"/>
      <c r="K42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27" s="22"/>
    </row>
    <row r="428" spans="1:12" x14ac:dyDescent="0.25">
      <c r="A428" s="13"/>
      <c r="B428" s="7" t="str">
        <f>IF(Tabela22[[#This Row],[Data]]="","",PROPER(TEXT(Tabela22[[#This Row],[Data]],"mmm")))</f>
        <v/>
      </c>
      <c r="C428" s="1" t="str">
        <f>IF(Tabela22[[#This Row],[Data]]="","",PROPER(TEXT(Tabela22[[#This Row],[Data]],"ddd")))</f>
        <v/>
      </c>
      <c r="D428" s="9"/>
      <c r="E428" s="9"/>
      <c r="F428" s="9"/>
      <c r="G428" s="11"/>
      <c r="H428" s="9"/>
      <c r="I428" s="22"/>
      <c r="J428" s="24"/>
      <c r="K42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28" s="22"/>
    </row>
    <row r="429" spans="1:12" x14ac:dyDescent="0.25">
      <c r="A429" s="13"/>
      <c r="B429" s="7" t="str">
        <f>IF(Tabela22[[#This Row],[Data]]="","",PROPER(TEXT(Tabela22[[#This Row],[Data]],"mmm")))</f>
        <v/>
      </c>
      <c r="C429" s="1" t="str">
        <f>IF(Tabela22[[#This Row],[Data]]="","",PROPER(TEXT(Tabela22[[#This Row],[Data]],"ddd")))</f>
        <v/>
      </c>
      <c r="D429" s="9"/>
      <c r="E429" s="9"/>
      <c r="F429" s="9"/>
      <c r="G429" s="11"/>
      <c r="H429" s="9"/>
      <c r="I429" s="22"/>
      <c r="J429" s="24"/>
      <c r="K42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29" s="22"/>
    </row>
    <row r="430" spans="1:12" x14ac:dyDescent="0.25">
      <c r="A430" s="13"/>
      <c r="B430" s="7" t="str">
        <f>IF(Tabela22[[#This Row],[Data]]="","",PROPER(TEXT(Tabela22[[#This Row],[Data]],"mmm")))</f>
        <v/>
      </c>
      <c r="C430" s="1" t="str">
        <f>IF(Tabela22[[#This Row],[Data]]="","",PROPER(TEXT(Tabela22[[#This Row],[Data]],"ddd")))</f>
        <v/>
      </c>
      <c r="D430" s="9"/>
      <c r="E430" s="9"/>
      <c r="F430" s="9"/>
      <c r="G430" s="11"/>
      <c r="H430" s="9"/>
      <c r="I430" s="22"/>
      <c r="J430" s="24"/>
      <c r="K43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30" s="22"/>
    </row>
    <row r="431" spans="1:12" x14ac:dyDescent="0.25">
      <c r="A431" s="13"/>
      <c r="B431" s="7" t="str">
        <f>IF(Tabela22[[#This Row],[Data]]="","",PROPER(TEXT(Tabela22[[#This Row],[Data]],"mmm")))</f>
        <v/>
      </c>
      <c r="C431" s="1" t="str">
        <f>IF(Tabela22[[#This Row],[Data]]="","",PROPER(TEXT(Tabela22[[#This Row],[Data]],"ddd")))</f>
        <v/>
      </c>
      <c r="D431" s="9"/>
      <c r="E431" s="9"/>
      <c r="F431" s="9"/>
      <c r="G431" s="11"/>
      <c r="H431" s="9"/>
      <c r="I431" s="22"/>
      <c r="J431" s="24"/>
      <c r="K43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31" s="22"/>
    </row>
    <row r="432" spans="1:12" x14ac:dyDescent="0.25">
      <c r="A432" s="13"/>
      <c r="B432" s="7" t="str">
        <f>IF(Tabela22[[#This Row],[Data]]="","",PROPER(TEXT(Tabela22[[#This Row],[Data]],"mmm")))</f>
        <v/>
      </c>
      <c r="C432" s="1" t="str">
        <f>IF(Tabela22[[#This Row],[Data]]="","",PROPER(TEXT(Tabela22[[#This Row],[Data]],"ddd")))</f>
        <v/>
      </c>
      <c r="D432" s="9"/>
      <c r="E432" s="9"/>
      <c r="F432" s="9"/>
      <c r="G432" s="11"/>
      <c r="H432" s="9"/>
      <c r="I432" s="22"/>
      <c r="J432" s="24"/>
      <c r="K43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32" s="22"/>
    </row>
    <row r="433" spans="1:12" x14ac:dyDescent="0.25">
      <c r="A433" s="13"/>
      <c r="B433" s="7" t="str">
        <f>IF(Tabela22[[#This Row],[Data]]="","",PROPER(TEXT(Tabela22[[#This Row],[Data]],"mmm")))</f>
        <v/>
      </c>
      <c r="C433" s="1" t="str">
        <f>IF(Tabela22[[#This Row],[Data]]="","",PROPER(TEXT(Tabela22[[#This Row],[Data]],"ddd")))</f>
        <v/>
      </c>
      <c r="D433" s="9"/>
      <c r="E433" s="9"/>
      <c r="F433" s="9"/>
      <c r="G433" s="11"/>
      <c r="H433" s="9"/>
      <c r="I433" s="22"/>
      <c r="J433" s="24"/>
      <c r="K43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33" s="22"/>
    </row>
    <row r="434" spans="1:12" x14ac:dyDescent="0.25">
      <c r="A434" s="13"/>
      <c r="B434" s="7" t="str">
        <f>IF(Tabela22[[#This Row],[Data]]="","",PROPER(TEXT(Tabela22[[#This Row],[Data]],"mmm")))</f>
        <v/>
      </c>
      <c r="C434" s="1" t="str">
        <f>IF(Tabela22[[#This Row],[Data]]="","",PROPER(TEXT(Tabela22[[#This Row],[Data]],"ddd")))</f>
        <v/>
      </c>
      <c r="D434" s="9"/>
      <c r="E434" s="9"/>
      <c r="F434" s="9"/>
      <c r="G434" s="11"/>
      <c r="H434" s="9"/>
      <c r="I434" s="22"/>
      <c r="J434" s="24"/>
      <c r="K43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34" s="22"/>
    </row>
    <row r="435" spans="1:12" x14ac:dyDescent="0.25">
      <c r="A435" s="13"/>
      <c r="B435" s="7" t="str">
        <f>IF(Tabela22[[#This Row],[Data]]="","",PROPER(TEXT(Tabela22[[#This Row],[Data]],"mmm")))</f>
        <v/>
      </c>
      <c r="C435" s="1" t="str">
        <f>IF(Tabela22[[#This Row],[Data]]="","",PROPER(TEXT(Tabela22[[#This Row],[Data]],"ddd")))</f>
        <v/>
      </c>
      <c r="D435" s="9"/>
      <c r="E435" s="9"/>
      <c r="F435" s="9"/>
      <c r="G435" s="11"/>
      <c r="H435" s="9"/>
      <c r="I435" s="22"/>
      <c r="J435" s="24"/>
      <c r="K43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35" s="22"/>
    </row>
    <row r="436" spans="1:12" x14ac:dyDescent="0.25">
      <c r="A436" s="13"/>
      <c r="B436" s="7" t="str">
        <f>IF(Tabela22[[#This Row],[Data]]="","",PROPER(TEXT(Tabela22[[#This Row],[Data]],"mmm")))</f>
        <v/>
      </c>
      <c r="C436" s="1" t="str">
        <f>IF(Tabela22[[#This Row],[Data]]="","",PROPER(TEXT(Tabela22[[#This Row],[Data]],"ddd")))</f>
        <v/>
      </c>
      <c r="D436" s="9"/>
      <c r="E436" s="9"/>
      <c r="F436" s="9"/>
      <c r="G436" s="11"/>
      <c r="H436" s="9"/>
      <c r="I436" s="22"/>
      <c r="J436" s="24"/>
      <c r="K43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36" s="22"/>
    </row>
    <row r="437" spans="1:12" x14ac:dyDescent="0.25">
      <c r="A437" s="13"/>
      <c r="B437" s="7" t="str">
        <f>IF(Tabela22[[#This Row],[Data]]="","",PROPER(TEXT(Tabela22[[#This Row],[Data]],"mmm")))</f>
        <v/>
      </c>
      <c r="C437" s="1" t="str">
        <f>IF(Tabela22[[#This Row],[Data]]="","",PROPER(TEXT(Tabela22[[#This Row],[Data]],"ddd")))</f>
        <v/>
      </c>
      <c r="D437" s="9"/>
      <c r="E437" s="9"/>
      <c r="F437" s="9"/>
      <c r="G437" s="11"/>
      <c r="H437" s="9"/>
      <c r="I437" s="22"/>
      <c r="J437" s="24"/>
      <c r="K43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37" s="22"/>
    </row>
    <row r="438" spans="1:12" x14ac:dyDescent="0.25">
      <c r="A438" s="13"/>
      <c r="B438" s="7" t="str">
        <f>IF(Tabela22[[#This Row],[Data]]="","",PROPER(TEXT(Tabela22[[#This Row],[Data]],"mmm")))</f>
        <v/>
      </c>
      <c r="C438" s="1" t="str">
        <f>IF(Tabela22[[#This Row],[Data]]="","",PROPER(TEXT(Tabela22[[#This Row],[Data]],"ddd")))</f>
        <v/>
      </c>
      <c r="D438" s="9"/>
      <c r="E438" s="9"/>
      <c r="F438" s="9"/>
      <c r="G438" s="11"/>
      <c r="H438" s="9"/>
      <c r="I438" s="22"/>
      <c r="J438" s="24"/>
      <c r="K43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38" s="22"/>
    </row>
    <row r="439" spans="1:12" x14ac:dyDescent="0.25">
      <c r="A439" s="13"/>
      <c r="B439" s="7" t="str">
        <f>IF(Tabela22[[#This Row],[Data]]="","",PROPER(TEXT(Tabela22[[#This Row],[Data]],"mmm")))</f>
        <v/>
      </c>
      <c r="C439" s="1" t="str">
        <f>IF(Tabela22[[#This Row],[Data]]="","",PROPER(TEXT(Tabela22[[#This Row],[Data]],"ddd")))</f>
        <v/>
      </c>
      <c r="D439" s="9"/>
      <c r="E439" s="9"/>
      <c r="F439" s="9"/>
      <c r="G439" s="11"/>
      <c r="H439" s="9"/>
      <c r="I439" s="22"/>
      <c r="J439" s="24"/>
      <c r="K43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39" s="22"/>
    </row>
    <row r="440" spans="1:12" x14ac:dyDescent="0.25">
      <c r="A440" s="13"/>
      <c r="B440" s="7" t="str">
        <f>IF(Tabela22[[#This Row],[Data]]="","",PROPER(TEXT(Tabela22[[#This Row],[Data]],"mmm")))</f>
        <v/>
      </c>
      <c r="C440" s="1" t="str">
        <f>IF(Tabela22[[#This Row],[Data]]="","",PROPER(TEXT(Tabela22[[#This Row],[Data]],"ddd")))</f>
        <v/>
      </c>
      <c r="D440" s="9"/>
      <c r="E440" s="9"/>
      <c r="F440" s="9"/>
      <c r="G440" s="11"/>
      <c r="H440" s="9"/>
      <c r="I440" s="22"/>
      <c r="J440" s="24"/>
      <c r="K44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40" s="22"/>
    </row>
    <row r="441" spans="1:12" x14ac:dyDescent="0.25">
      <c r="A441" s="13"/>
      <c r="B441" s="7" t="str">
        <f>IF(Tabela22[[#This Row],[Data]]="","",PROPER(TEXT(Tabela22[[#This Row],[Data]],"mmm")))</f>
        <v/>
      </c>
      <c r="C441" s="1" t="str">
        <f>IF(Tabela22[[#This Row],[Data]]="","",PROPER(TEXT(Tabela22[[#This Row],[Data]],"ddd")))</f>
        <v/>
      </c>
      <c r="D441" s="9"/>
      <c r="E441" s="9"/>
      <c r="F441" s="9"/>
      <c r="G441" s="11"/>
      <c r="H441" s="9"/>
      <c r="I441" s="22"/>
      <c r="J441" s="24"/>
      <c r="K44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41" s="22"/>
    </row>
    <row r="442" spans="1:12" x14ac:dyDescent="0.25">
      <c r="A442" s="13"/>
      <c r="B442" s="7" t="str">
        <f>IF(Tabela22[[#This Row],[Data]]="","",PROPER(TEXT(Tabela22[[#This Row],[Data]],"mmm")))</f>
        <v/>
      </c>
      <c r="C442" s="1" t="str">
        <f>IF(Tabela22[[#This Row],[Data]]="","",PROPER(TEXT(Tabela22[[#This Row],[Data]],"ddd")))</f>
        <v/>
      </c>
      <c r="D442" s="9"/>
      <c r="E442" s="9"/>
      <c r="F442" s="9"/>
      <c r="G442" s="11"/>
      <c r="H442" s="9"/>
      <c r="I442" s="22"/>
      <c r="J442" s="24"/>
      <c r="K44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42" s="22"/>
    </row>
    <row r="443" spans="1:12" x14ac:dyDescent="0.25">
      <c r="A443" s="13"/>
      <c r="B443" s="7" t="str">
        <f>IF(Tabela22[[#This Row],[Data]]="","",PROPER(TEXT(Tabela22[[#This Row],[Data]],"mmm")))</f>
        <v/>
      </c>
      <c r="C443" s="1" t="str">
        <f>IF(Tabela22[[#This Row],[Data]]="","",PROPER(TEXT(Tabela22[[#This Row],[Data]],"ddd")))</f>
        <v/>
      </c>
      <c r="D443" s="9"/>
      <c r="E443" s="9"/>
      <c r="F443" s="9"/>
      <c r="G443" s="11"/>
      <c r="H443" s="9"/>
      <c r="I443" s="22"/>
      <c r="J443" s="24"/>
      <c r="K44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43" s="22"/>
    </row>
    <row r="444" spans="1:12" x14ac:dyDescent="0.25">
      <c r="A444" s="13"/>
      <c r="B444" s="7" t="str">
        <f>IF(Tabela22[[#This Row],[Data]]="","",PROPER(TEXT(Tabela22[[#This Row],[Data]],"mmm")))</f>
        <v/>
      </c>
      <c r="C444" s="1" t="str">
        <f>IF(Tabela22[[#This Row],[Data]]="","",PROPER(TEXT(Tabela22[[#This Row],[Data]],"ddd")))</f>
        <v/>
      </c>
      <c r="D444" s="9"/>
      <c r="E444" s="9"/>
      <c r="F444" s="9"/>
      <c r="G444" s="11"/>
      <c r="H444" s="9"/>
      <c r="I444" s="22"/>
      <c r="J444" s="24"/>
      <c r="K44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44" s="22"/>
    </row>
    <row r="445" spans="1:12" x14ac:dyDescent="0.25">
      <c r="A445" s="13"/>
      <c r="B445" s="7" t="str">
        <f>IF(Tabela22[[#This Row],[Data]]="","",PROPER(TEXT(Tabela22[[#This Row],[Data]],"mmm")))</f>
        <v/>
      </c>
      <c r="C445" s="1" t="str">
        <f>IF(Tabela22[[#This Row],[Data]]="","",PROPER(TEXT(Tabela22[[#This Row],[Data]],"ddd")))</f>
        <v/>
      </c>
      <c r="D445" s="9"/>
      <c r="E445" s="9"/>
      <c r="F445" s="9"/>
      <c r="G445" s="11"/>
      <c r="H445" s="9"/>
      <c r="I445" s="22"/>
      <c r="J445" s="24"/>
      <c r="K44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45" s="22"/>
    </row>
    <row r="446" spans="1:12" x14ac:dyDescent="0.25">
      <c r="A446" s="13"/>
      <c r="B446" s="7" t="str">
        <f>IF(Tabela22[[#This Row],[Data]]="","",PROPER(TEXT(Tabela22[[#This Row],[Data]],"mmm")))</f>
        <v/>
      </c>
      <c r="C446" s="1" t="str">
        <f>IF(Tabela22[[#This Row],[Data]]="","",PROPER(TEXT(Tabela22[[#This Row],[Data]],"ddd")))</f>
        <v/>
      </c>
      <c r="D446" s="9"/>
      <c r="E446" s="9"/>
      <c r="F446" s="9"/>
      <c r="G446" s="11"/>
      <c r="H446" s="9"/>
      <c r="I446" s="22"/>
      <c r="J446" s="24"/>
      <c r="K44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46" s="22"/>
    </row>
    <row r="447" spans="1:12" x14ac:dyDescent="0.25">
      <c r="A447" s="13"/>
      <c r="B447" s="7" t="str">
        <f>IF(Tabela22[[#This Row],[Data]]="","",PROPER(TEXT(Tabela22[[#This Row],[Data]],"mmm")))</f>
        <v/>
      </c>
      <c r="C447" s="1" t="str">
        <f>IF(Tabela22[[#This Row],[Data]]="","",PROPER(TEXT(Tabela22[[#This Row],[Data]],"ddd")))</f>
        <v/>
      </c>
      <c r="D447" s="9"/>
      <c r="E447" s="9"/>
      <c r="F447" s="9"/>
      <c r="G447" s="11"/>
      <c r="H447" s="9"/>
      <c r="I447" s="22"/>
      <c r="J447" s="24"/>
      <c r="K44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47" s="22"/>
    </row>
    <row r="448" spans="1:12" x14ac:dyDescent="0.25">
      <c r="A448" s="13"/>
      <c r="B448" s="7" t="str">
        <f>IF(Tabela22[[#This Row],[Data]]="","",PROPER(TEXT(Tabela22[[#This Row],[Data]],"mmm")))</f>
        <v/>
      </c>
      <c r="C448" s="1" t="str">
        <f>IF(Tabela22[[#This Row],[Data]]="","",PROPER(TEXT(Tabela22[[#This Row],[Data]],"ddd")))</f>
        <v/>
      </c>
      <c r="D448" s="9"/>
      <c r="E448" s="9"/>
      <c r="F448" s="9"/>
      <c r="G448" s="11"/>
      <c r="H448" s="9"/>
      <c r="I448" s="22"/>
      <c r="J448" s="24"/>
      <c r="K44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48" s="22"/>
    </row>
    <row r="449" spans="1:12" x14ac:dyDescent="0.25">
      <c r="A449" s="13"/>
      <c r="B449" s="7" t="str">
        <f>IF(Tabela22[[#This Row],[Data]]="","",PROPER(TEXT(Tabela22[[#This Row],[Data]],"mmm")))</f>
        <v/>
      </c>
      <c r="C449" s="1" t="str">
        <f>IF(Tabela22[[#This Row],[Data]]="","",PROPER(TEXT(Tabela22[[#This Row],[Data]],"ddd")))</f>
        <v/>
      </c>
      <c r="D449" s="9"/>
      <c r="E449" s="9"/>
      <c r="F449" s="9"/>
      <c r="G449" s="11"/>
      <c r="H449" s="9"/>
      <c r="I449" s="22"/>
      <c r="J449" s="24"/>
      <c r="K44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49" s="22"/>
    </row>
    <row r="450" spans="1:12" x14ac:dyDescent="0.25">
      <c r="A450" s="13"/>
      <c r="B450" s="7" t="str">
        <f>IF(Tabela22[[#This Row],[Data]]="","",PROPER(TEXT(Tabela22[[#This Row],[Data]],"mmm")))</f>
        <v/>
      </c>
      <c r="C450" s="1" t="str">
        <f>IF(Tabela22[[#This Row],[Data]]="","",PROPER(TEXT(Tabela22[[#This Row],[Data]],"ddd")))</f>
        <v/>
      </c>
      <c r="D450" s="9"/>
      <c r="E450" s="9"/>
      <c r="F450" s="9"/>
      <c r="G450" s="11"/>
      <c r="H450" s="9"/>
      <c r="I450" s="22"/>
      <c r="J450" s="24"/>
      <c r="K45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50" s="22"/>
    </row>
    <row r="451" spans="1:12" x14ac:dyDescent="0.25">
      <c r="A451" s="13"/>
      <c r="B451" s="7" t="str">
        <f>IF(Tabela22[[#This Row],[Data]]="","",PROPER(TEXT(Tabela22[[#This Row],[Data]],"mmm")))</f>
        <v/>
      </c>
      <c r="C451" s="1" t="str">
        <f>IF(Tabela22[[#This Row],[Data]]="","",PROPER(TEXT(Tabela22[[#This Row],[Data]],"ddd")))</f>
        <v/>
      </c>
      <c r="D451" s="9"/>
      <c r="E451" s="9"/>
      <c r="F451" s="9"/>
      <c r="G451" s="11"/>
      <c r="H451" s="9"/>
      <c r="I451" s="22"/>
      <c r="J451" s="24"/>
      <c r="K45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51" s="22"/>
    </row>
    <row r="452" spans="1:12" x14ac:dyDescent="0.25">
      <c r="A452" s="13"/>
      <c r="B452" s="7" t="str">
        <f>IF(Tabela22[[#This Row],[Data]]="","",PROPER(TEXT(Tabela22[[#This Row],[Data]],"mmm")))</f>
        <v/>
      </c>
      <c r="C452" s="1" t="str">
        <f>IF(Tabela22[[#This Row],[Data]]="","",PROPER(TEXT(Tabela22[[#This Row],[Data]],"ddd")))</f>
        <v/>
      </c>
      <c r="D452" s="9"/>
      <c r="E452" s="9"/>
      <c r="F452" s="9"/>
      <c r="G452" s="11"/>
      <c r="H452" s="9"/>
      <c r="I452" s="22"/>
      <c r="J452" s="24"/>
      <c r="K45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52" s="22"/>
    </row>
    <row r="453" spans="1:12" x14ac:dyDescent="0.25">
      <c r="A453" s="13"/>
      <c r="B453" s="7" t="str">
        <f>IF(Tabela22[[#This Row],[Data]]="","",PROPER(TEXT(Tabela22[[#This Row],[Data]],"mmm")))</f>
        <v/>
      </c>
      <c r="C453" s="1" t="str">
        <f>IF(Tabela22[[#This Row],[Data]]="","",PROPER(TEXT(Tabela22[[#This Row],[Data]],"ddd")))</f>
        <v/>
      </c>
      <c r="D453" s="9"/>
      <c r="E453" s="9"/>
      <c r="F453" s="9"/>
      <c r="G453" s="11"/>
      <c r="H453" s="9"/>
      <c r="I453" s="22"/>
      <c r="J453" s="24"/>
      <c r="K45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53" s="22"/>
    </row>
    <row r="454" spans="1:12" x14ac:dyDescent="0.25">
      <c r="A454" s="13"/>
      <c r="B454" s="7" t="str">
        <f>IF(Tabela22[[#This Row],[Data]]="","",PROPER(TEXT(Tabela22[[#This Row],[Data]],"mmm")))</f>
        <v/>
      </c>
      <c r="C454" s="1" t="str">
        <f>IF(Tabela22[[#This Row],[Data]]="","",PROPER(TEXT(Tabela22[[#This Row],[Data]],"ddd")))</f>
        <v/>
      </c>
      <c r="D454" s="9"/>
      <c r="E454" s="9"/>
      <c r="F454" s="9"/>
      <c r="G454" s="11"/>
      <c r="H454" s="9"/>
      <c r="I454" s="22"/>
      <c r="J454" s="24"/>
      <c r="K45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54" s="22"/>
    </row>
    <row r="455" spans="1:12" x14ac:dyDescent="0.25">
      <c r="A455" s="13"/>
      <c r="B455" s="7" t="str">
        <f>IF(Tabela22[[#This Row],[Data]]="","",PROPER(TEXT(Tabela22[[#This Row],[Data]],"mmm")))</f>
        <v/>
      </c>
      <c r="C455" s="1" t="str">
        <f>IF(Tabela22[[#This Row],[Data]]="","",PROPER(TEXT(Tabela22[[#This Row],[Data]],"ddd")))</f>
        <v/>
      </c>
      <c r="D455" s="9"/>
      <c r="E455" s="9"/>
      <c r="F455" s="9"/>
      <c r="G455" s="11"/>
      <c r="H455" s="9"/>
      <c r="I455" s="22"/>
      <c r="J455" s="24"/>
      <c r="K45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55" s="22"/>
    </row>
    <row r="456" spans="1:12" x14ac:dyDescent="0.25">
      <c r="A456" s="13"/>
      <c r="B456" s="7" t="str">
        <f>IF(Tabela22[[#This Row],[Data]]="","",PROPER(TEXT(Tabela22[[#This Row],[Data]],"mmm")))</f>
        <v/>
      </c>
      <c r="C456" s="1" t="str">
        <f>IF(Tabela22[[#This Row],[Data]]="","",PROPER(TEXT(Tabela22[[#This Row],[Data]],"ddd")))</f>
        <v/>
      </c>
      <c r="D456" s="9"/>
      <c r="E456" s="9"/>
      <c r="F456" s="9"/>
      <c r="G456" s="11"/>
      <c r="H456" s="9"/>
      <c r="I456" s="22"/>
      <c r="J456" s="24"/>
      <c r="K45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56" s="22"/>
    </row>
    <row r="457" spans="1:12" x14ac:dyDescent="0.25">
      <c r="A457" s="13"/>
      <c r="B457" s="7" t="str">
        <f>IF(Tabela22[[#This Row],[Data]]="","",PROPER(TEXT(Tabela22[[#This Row],[Data]],"mmm")))</f>
        <v/>
      </c>
      <c r="C457" s="1" t="str">
        <f>IF(Tabela22[[#This Row],[Data]]="","",PROPER(TEXT(Tabela22[[#This Row],[Data]],"ddd")))</f>
        <v/>
      </c>
      <c r="D457" s="9"/>
      <c r="E457" s="9"/>
      <c r="F457" s="9"/>
      <c r="G457" s="11"/>
      <c r="H457" s="9"/>
      <c r="I457" s="22"/>
      <c r="J457" s="24"/>
      <c r="K45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57" s="22"/>
    </row>
    <row r="458" spans="1:12" x14ac:dyDescent="0.25">
      <c r="A458" s="13"/>
      <c r="B458" s="7" t="str">
        <f>IF(Tabela22[[#This Row],[Data]]="","",PROPER(TEXT(Tabela22[[#This Row],[Data]],"mmm")))</f>
        <v/>
      </c>
      <c r="C458" s="1" t="str">
        <f>IF(Tabela22[[#This Row],[Data]]="","",PROPER(TEXT(Tabela22[[#This Row],[Data]],"ddd")))</f>
        <v/>
      </c>
      <c r="D458" s="9"/>
      <c r="E458" s="9"/>
      <c r="F458" s="9"/>
      <c r="G458" s="11"/>
      <c r="H458" s="9"/>
      <c r="I458" s="22"/>
      <c r="J458" s="24"/>
      <c r="K45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58" s="22"/>
    </row>
    <row r="459" spans="1:12" x14ac:dyDescent="0.25">
      <c r="A459" s="13"/>
      <c r="B459" s="7" t="str">
        <f>IF(Tabela22[[#This Row],[Data]]="","",PROPER(TEXT(Tabela22[[#This Row],[Data]],"mmm")))</f>
        <v/>
      </c>
      <c r="C459" s="1" t="str">
        <f>IF(Tabela22[[#This Row],[Data]]="","",PROPER(TEXT(Tabela22[[#This Row],[Data]],"ddd")))</f>
        <v/>
      </c>
      <c r="D459" s="9"/>
      <c r="E459" s="9"/>
      <c r="F459" s="9"/>
      <c r="G459" s="11"/>
      <c r="H459" s="9"/>
      <c r="I459" s="22"/>
      <c r="J459" s="24"/>
      <c r="K45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59" s="22"/>
    </row>
    <row r="460" spans="1:12" x14ac:dyDescent="0.25">
      <c r="A460" s="13"/>
      <c r="B460" s="7" t="str">
        <f>IF(Tabela22[[#This Row],[Data]]="","",PROPER(TEXT(Tabela22[[#This Row],[Data]],"mmm")))</f>
        <v/>
      </c>
      <c r="C460" s="1" t="str">
        <f>IF(Tabela22[[#This Row],[Data]]="","",PROPER(TEXT(Tabela22[[#This Row],[Data]],"ddd")))</f>
        <v/>
      </c>
      <c r="D460" s="9"/>
      <c r="E460" s="9"/>
      <c r="F460" s="9"/>
      <c r="G460" s="11"/>
      <c r="H460" s="9"/>
      <c r="I460" s="22"/>
      <c r="J460" s="24"/>
      <c r="K46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60" s="22"/>
    </row>
    <row r="461" spans="1:12" x14ac:dyDescent="0.25">
      <c r="A461" s="13"/>
      <c r="B461" s="7" t="str">
        <f>IF(Tabela22[[#This Row],[Data]]="","",PROPER(TEXT(Tabela22[[#This Row],[Data]],"mmm")))</f>
        <v/>
      </c>
      <c r="C461" s="1" t="str">
        <f>IF(Tabela22[[#This Row],[Data]]="","",PROPER(TEXT(Tabela22[[#This Row],[Data]],"ddd")))</f>
        <v/>
      </c>
      <c r="D461" s="9"/>
      <c r="E461" s="9"/>
      <c r="F461" s="9"/>
      <c r="G461" s="11"/>
      <c r="H461" s="9"/>
      <c r="I461" s="22"/>
      <c r="J461" s="24"/>
      <c r="K46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61" s="22"/>
    </row>
    <row r="462" spans="1:12" x14ac:dyDescent="0.25">
      <c r="A462" s="13"/>
      <c r="B462" s="7" t="str">
        <f>IF(Tabela22[[#This Row],[Data]]="","",PROPER(TEXT(Tabela22[[#This Row],[Data]],"mmm")))</f>
        <v/>
      </c>
      <c r="C462" s="1" t="str">
        <f>IF(Tabela22[[#This Row],[Data]]="","",PROPER(TEXT(Tabela22[[#This Row],[Data]],"ddd")))</f>
        <v/>
      </c>
      <c r="D462" s="9"/>
      <c r="E462" s="9"/>
      <c r="F462" s="9"/>
      <c r="G462" s="11"/>
      <c r="H462" s="9"/>
      <c r="I462" s="22"/>
      <c r="J462" s="24"/>
      <c r="K46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62" s="22"/>
    </row>
    <row r="463" spans="1:12" x14ac:dyDescent="0.25">
      <c r="A463" s="13"/>
      <c r="B463" s="7" t="str">
        <f>IF(Tabela22[[#This Row],[Data]]="","",PROPER(TEXT(Tabela22[[#This Row],[Data]],"mmm")))</f>
        <v/>
      </c>
      <c r="C463" s="1" t="str">
        <f>IF(Tabela22[[#This Row],[Data]]="","",PROPER(TEXT(Tabela22[[#This Row],[Data]],"ddd")))</f>
        <v/>
      </c>
      <c r="D463" s="9"/>
      <c r="E463" s="9"/>
      <c r="F463" s="9"/>
      <c r="G463" s="11"/>
      <c r="H463" s="9"/>
      <c r="I463" s="22"/>
      <c r="J463" s="24"/>
      <c r="K46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63" s="22"/>
    </row>
    <row r="464" spans="1:12" x14ac:dyDescent="0.25">
      <c r="A464" s="13"/>
      <c r="B464" s="7" t="str">
        <f>IF(Tabela22[[#This Row],[Data]]="","",PROPER(TEXT(Tabela22[[#This Row],[Data]],"mmm")))</f>
        <v/>
      </c>
      <c r="C464" s="1" t="str">
        <f>IF(Tabela22[[#This Row],[Data]]="","",PROPER(TEXT(Tabela22[[#This Row],[Data]],"ddd")))</f>
        <v/>
      </c>
      <c r="D464" s="9"/>
      <c r="E464" s="9"/>
      <c r="F464" s="9"/>
      <c r="G464" s="11"/>
      <c r="H464" s="9"/>
      <c r="I464" s="22"/>
      <c r="J464" s="24"/>
      <c r="K46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64" s="22"/>
    </row>
    <row r="465" spans="1:12" x14ac:dyDescent="0.25">
      <c r="A465" s="13"/>
      <c r="B465" s="7" t="str">
        <f>IF(Tabela22[[#This Row],[Data]]="","",PROPER(TEXT(Tabela22[[#This Row],[Data]],"mmm")))</f>
        <v/>
      </c>
      <c r="C465" s="1" t="str">
        <f>IF(Tabela22[[#This Row],[Data]]="","",PROPER(TEXT(Tabela22[[#This Row],[Data]],"ddd")))</f>
        <v/>
      </c>
      <c r="D465" s="9"/>
      <c r="E465" s="9"/>
      <c r="F465" s="9"/>
      <c r="G465" s="11"/>
      <c r="H465" s="9"/>
      <c r="I465" s="22"/>
      <c r="J465" s="24"/>
      <c r="K46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65" s="22"/>
    </row>
    <row r="466" spans="1:12" x14ac:dyDescent="0.25">
      <c r="A466" s="13"/>
      <c r="B466" s="7" t="str">
        <f>IF(Tabela22[[#This Row],[Data]]="","",PROPER(TEXT(Tabela22[[#This Row],[Data]],"mmm")))</f>
        <v/>
      </c>
      <c r="C466" s="1" t="str">
        <f>IF(Tabela22[[#This Row],[Data]]="","",PROPER(TEXT(Tabela22[[#This Row],[Data]],"ddd")))</f>
        <v/>
      </c>
      <c r="D466" s="9"/>
      <c r="E466" s="9"/>
      <c r="F466" s="9"/>
      <c r="G466" s="11"/>
      <c r="H466" s="9"/>
      <c r="I466" s="22"/>
      <c r="J466" s="24"/>
      <c r="K46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66" s="22"/>
    </row>
    <row r="467" spans="1:12" x14ac:dyDescent="0.25">
      <c r="A467" s="13"/>
      <c r="B467" s="7" t="str">
        <f>IF(Tabela22[[#This Row],[Data]]="","",PROPER(TEXT(Tabela22[[#This Row],[Data]],"mmm")))</f>
        <v/>
      </c>
      <c r="C467" s="1" t="str">
        <f>IF(Tabela22[[#This Row],[Data]]="","",PROPER(TEXT(Tabela22[[#This Row],[Data]],"ddd")))</f>
        <v/>
      </c>
      <c r="D467" s="9"/>
      <c r="E467" s="9"/>
      <c r="F467" s="9"/>
      <c r="G467" s="11"/>
      <c r="H467" s="9"/>
      <c r="I467" s="22"/>
      <c r="J467" s="24"/>
      <c r="K46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67" s="22"/>
    </row>
    <row r="468" spans="1:12" x14ac:dyDescent="0.25">
      <c r="A468" s="13"/>
      <c r="B468" s="7" t="str">
        <f>IF(Tabela22[[#This Row],[Data]]="","",PROPER(TEXT(Tabela22[[#This Row],[Data]],"mmm")))</f>
        <v/>
      </c>
      <c r="C468" s="1" t="str">
        <f>IF(Tabela22[[#This Row],[Data]]="","",PROPER(TEXT(Tabela22[[#This Row],[Data]],"ddd")))</f>
        <v/>
      </c>
      <c r="D468" s="9"/>
      <c r="E468" s="9"/>
      <c r="F468" s="9"/>
      <c r="G468" s="11"/>
      <c r="H468" s="9"/>
      <c r="I468" s="22"/>
      <c r="J468" s="24"/>
      <c r="K46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68" s="22"/>
    </row>
    <row r="469" spans="1:12" x14ac:dyDescent="0.25">
      <c r="A469" s="13"/>
      <c r="B469" s="7" t="str">
        <f>IF(Tabela22[[#This Row],[Data]]="","",PROPER(TEXT(Tabela22[[#This Row],[Data]],"mmm")))</f>
        <v/>
      </c>
      <c r="C469" s="1" t="str">
        <f>IF(Tabela22[[#This Row],[Data]]="","",PROPER(TEXT(Tabela22[[#This Row],[Data]],"ddd")))</f>
        <v/>
      </c>
      <c r="D469" s="9"/>
      <c r="E469" s="9"/>
      <c r="F469" s="9"/>
      <c r="G469" s="11"/>
      <c r="H469" s="9"/>
      <c r="I469" s="22"/>
      <c r="J469" s="24"/>
      <c r="K46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69" s="22"/>
    </row>
    <row r="470" spans="1:12" x14ac:dyDescent="0.25">
      <c r="A470" s="13"/>
      <c r="B470" s="7" t="str">
        <f>IF(Tabela22[[#This Row],[Data]]="","",PROPER(TEXT(Tabela22[[#This Row],[Data]],"mmm")))</f>
        <v/>
      </c>
      <c r="C470" s="1" t="str">
        <f>IF(Tabela22[[#This Row],[Data]]="","",PROPER(TEXT(Tabela22[[#This Row],[Data]],"ddd")))</f>
        <v/>
      </c>
      <c r="D470" s="9"/>
      <c r="E470" s="9"/>
      <c r="F470" s="9"/>
      <c r="G470" s="11"/>
      <c r="H470" s="9"/>
      <c r="I470" s="22"/>
      <c r="J470" s="24"/>
      <c r="K47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70" s="22"/>
    </row>
    <row r="471" spans="1:12" x14ac:dyDescent="0.25">
      <c r="A471" s="13"/>
      <c r="B471" s="7" t="str">
        <f>IF(Tabela22[[#This Row],[Data]]="","",PROPER(TEXT(Tabela22[[#This Row],[Data]],"mmm")))</f>
        <v/>
      </c>
      <c r="C471" s="1" t="str">
        <f>IF(Tabela22[[#This Row],[Data]]="","",PROPER(TEXT(Tabela22[[#This Row],[Data]],"ddd")))</f>
        <v/>
      </c>
      <c r="D471" s="9"/>
      <c r="E471" s="9"/>
      <c r="F471" s="9"/>
      <c r="G471" s="11"/>
      <c r="H471" s="9"/>
      <c r="I471" s="22"/>
      <c r="J471" s="24"/>
      <c r="K47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71" s="22"/>
    </row>
    <row r="472" spans="1:12" x14ac:dyDescent="0.25">
      <c r="A472" s="13"/>
      <c r="B472" s="7" t="str">
        <f>IF(Tabela22[[#This Row],[Data]]="","",PROPER(TEXT(Tabela22[[#This Row],[Data]],"mmm")))</f>
        <v/>
      </c>
      <c r="C472" s="1" t="str">
        <f>IF(Tabela22[[#This Row],[Data]]="","",PROPER(TEXT(Tabela22[[#This Row],[Data]],"ddd")))</f>
        <v/>
      </c>
      <c r="D472" s="9"/>
      <c r="E472" s="9"/>
      <c r="F472" s="9"/>
      <c r="G472" s="11"/>
      <c r="H472" s="9"/>
      <c r="I472" s="22"/>
      <c r="J472" s="24"/>
      <c r="K47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72" s="22"/>
    </row>
    <row r="473" spans="1:12" x14ac:dyDescent="0.25">
      <c r="A473" s="13"/>
      <c r="B473" s="7" t="str">
        <f>IF(Tabela22[[#This Row],[Data]]="","",PROPER(TEXT(Tabela22[[#This Row],[Data]],"mmm")))</f>
        <v/>
      </c>
      <c r="C473" s="1" t="str">
        <f>IF(Tabela22[[#This Row],[Data]]="","",PROPER(TEXT(Tabela22[[#This Row],[Data]],"ddd")))</f>
        <v/>
      </c>
      <c r="D473" s="9"/>
      <c r="E473" s="9"/>
      <c r="F473" s="9"/>
      <c r="G473" s="11"/>
      <c r="H473" s="9"/>
      <c r="I473" s="22"/>
      <c r="J473" s="24"/>
      <c r="K47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73" s="22"/>
    </row>
    <row r="474" spans="1:12" x14ac:dyDescent="0.25">
      <c r="A474" s="13"/>
      <c r="B474" s="7" t="str">
        <f>IF(Tabela22[[#This Row],[Data]]="","",PROPER(TEXT(Tabela22[[#This Row],[Data]],"mmm")))</f>
        <v/>
      </c>
      <c r="C474" s="1" t="str">
        <f>IF(Tabela22[[#This Row],[Data]]="","",PROPER(TEXT(Tabela22[[#This Row],[Data]],"ddd")))</f>
        <v/>
      </c>
      <c r="D474" s="9"/>
      <c r="E474" s="9"/>
      <c r="F474" s="9"/>
      <c r="G474" s="11"/>
      <c r="H474" s="9"/>
      <c r="I474" s="22"/>
      <c r="J474" s="24"/>
      <c r="K47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74" s="22"/>
    </row>
    <row r="475" spans="1:12" x14ac:dyDescent="0.25">
      <c r="A475" s="13"/>
      <c r="B475" s="7" t="str">
        <f>IF(Tabela22[[#This Row],[Data]]="","",PROPER(TEXT(Tabela22[[#This Row],[Data]],"mmm")))</f>
        <v/>
      </c>
      <c r="C475" s="1" t="str">
        <f>IF(Tabela22[[#This Row],[Data]]="","",PROPER(TEXT(Tabela22[[#This Row],[Data]],"ddd")))</f>
        <v/>
      </c>
      <c r="D475" s="9"/>
      <c r="E475" s="9"/>
      <c r="F475" s="9"/>
      <c r="G475" s="11"/>
      <c r="H475" s="9"/>
      <c r="I475" s="22"/>
      <c r="J475" s="24"/>
      <c r="K47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75" s="22"/>
    </row>
    <row r="476" spans="1:12" x14ac:dyDescent="0.25">
      <c r="A476" s="13"/>
      <c r="B476" s="7" t="str">
        <f>IF(Tabela22[[#This Row],[Data]]="","",PROPER(TEXT(Tabela22[[#This Row],[Data]],"mmm")))</f>
        <v/>
      </c>
      <c r="C476" s="1" t="str">
        <f>IF(Tabela22[[#This Row],[Data]]="","",PROPER(TEXT(Tabela22[[#This Row],[Data]],"ddd")))</f>
        <v/>
      </c>
      <c r="D476" s="9"/>
      <c r="E476" s="9"/>
      <c r="F476" s="9"/>
      <c r="G476" s="11"/>
      <c r="H476" s="9"/>
      <c r="I476" s="22"/>
      <c r="J476" s="24"/>
      <c r="K47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76" s="22"/>
    </row>
    <row r="477" spans="1:12" x14ac:dyDescent="0.25">
      <c r="A477" s="13"/>
      <c r="B477" s="7" t="str">
        <f>IF(Tabela22[[#This Row],[Data]]="","",PROPER(TEXT(Tabela22[[#This Row],[Data]],"mmm")))</f>
        <v/>
      </c>
      <c r="C477" s="1" t="str">
        <f>IF(Tabela22[[#This Row],[Data]]="","",PROPER(TEXT(Tabela22[[#This Row],[Data]],"ddd")))</f>
        <v/>
      </c>
      <c r="D477" s="9"/>
      <c r="E477" s="9"/>
      <c r="F477" s="9"/>
      <c r="G477" s="11"/>
      <c r="H477" s="9"/>
      <c r="I477" s="22"/>
      <c r="J477" s="24"/>
      <c r="K47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77" s="22"/>
    </row>
    <row r="478" spans="1:12" x14ac:dyDescent="0.25">
      <c r="A478" s="13"/>
      <c r="B478" s="7" t="str">
        <f>IF(Tabela22[[#This Row],[Data]]="","",PROPER(TEXT(Tabela22[[#This Row],[Data]],"mmm")))</f>
        <v/>
      </c>
      <c r="C478" s="1" t="str">
        <f>IF(Tabela22[[#This Row],[Data]]="","",PROPER(TEXT(Tabela22[[#This Row],[Data]],"ddd")))</f>
        <v/>
      </c>
      <c r="D478" s="9"/>
      <c r="E478" s="9"/>
      <c r="F478" s="9"/>
      <c r="G478" s="11"/>
      <c r="H478" s="9"/>
      <c r="I478" s="22"/>
      <c r="J478" s="24"/>
      <c r="K47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78" s="22"/>
    </row>
    <row r="479" spans="1:12" x14ac:dyDescent="0.25">
      <c r="A479" s="13"/>
      <c r="B479" s="7" t="str">
        <f>IF(Tabela22[[#This Row],[Data]]="","",PROPER(TEXT(Tabela22[[#This Row],[Data]],"mmm")))</f>
        <v/>
      </c>
      <c r="C479" s="1" t="str">
        <f>IF(Tabela22[[#This Row],[Data]]="","",PROPER(TEXT(Tabela22[[#This Row],[Data]],"ddd")))</f>
        <v/>
      </c>
      <c r="D479" s="9"/>
      <c r="E479" s="9"/>
      <c r="F479" s="9"/>
      <c r="G479" s="11"/>
      <c r="H479" s="9"/>
      <c r="I479" s="22"/>
      <c r="J479" s="24"/>
      <c r="K47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79" s="22"/>
    </row>
    <row r="480" spans="1:12" x14ac:dyDescent="0.25">
      <c r="A480" s="13"/>
      <c r="B480" s="7" t="str">
        <f>IF(Tabela22[[#This Row],[Data]]="","",PROPER(TEXT(Tabela22[[#This Row],[Data]],"mmm")))</f>
        <v/>
      </c>
      <c r="C480" s="1" t="str">
        <f>IF(Tabela22[[#This Row],[Data]]="","",PROPER(TEXT(Tabela22[[#This Row],[Data]],"ddd")))</f>
        <v/>
      </c>
      <c r="D480" s="9"/>
      <c r="E480" s="9"/>
      <c r="F480" s="9"/>
      <c r="G480" s="11"/>
      <c r="H480" s="9"/>
      <c r="I480" s="22"/>
      <c r="J480" s="24"/>
      <c r="K48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80" s="22"/>
    </row>
    <row r="481" spans="1:12" x14ac:dyDescent="0.25">
      <c r="A481" s="13"/>
      <c r="B481" s="7" t="str">
        <f>IF(Tabela22[[#This Row],[Data]]="","",PROPER(TEXT(Tabela22[[#This Row],[Data]],"mmm")))</f>
        <v/>
      </c>
      <c r="C481" s="1" t="str">
        <f>IF(Tabela22[[#This Row],[Data]]="","",PROPER(TEXT(Tabela22[[#This Row],[Data]],"ddd")))</f>
        <v/>
      </c>
      <c r="D481" s="9"/>
      <c r="E481" s="9"/>
      <c r="F481" s="9"/>
      <c r="G481" s="11"/>
      <c r="H481" s="9"/>
      <c r="I481" s="22"/>
      <c r="J481" s="24"/>
      <c r="K48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81" s="22"/>
    </row>
    <row r="482" spans="1:12" x14ac:dyDescent="0.25">
      <c r="A482" s="13"/>
      <c r="B482" s="7" t="str">
        <f>IF(Tabela22[[#This Row],[Data]]="","",PROPER(TEXT(Tabela22[[#This Row],[Data]],"mmm")))</f>
        <v/>
      </c>
      <c r="C482" s="1" t="str">
        <f>IF(Tabela22[[#This Row],[Data]]="","",PROPER(TEXT(Tabela22[[#This Row],[Data]],"ddd")))</f>
        <v/>
      </c>
      <c r="D482" s="9"/>
      <c r="E482" s="9"/>
      <c r="F482" s="9"/>
      <c r="G482" s="11"/>
      <c r="H482" s="9"/>
      <c r="I482" s="22"/>
      <c r="J482" s="24"/>
      <c r="K48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82" s="22"/>
    </row>
    <row r="483" spans="1:12" x14ac:dyDescent="0.25">
      <c r="A483" s="13"/>
      <c r="B483" s="7" t="str">
        <f>IF(Tabela22[[#This Row],[Data]]="","",PROPER(TEXT(Tabela22[[#This Row],[Data]],"mmm")))</f>
        <v/>
      </c>
      <c r="C483" s="1" t="str">
        <f>IF(Tabela22[[#This Row],[Data]]="","",PROPER(TEXT(Tabela22[[#This Row],[Data]],"ddd")))</f>
        <v/>
      </c>
      <c r="D483" s="9"/>
      <c r="E483" s="9"/>
      <c r="F483" s="9"/>
      <c r="G483" s="11"/>
      <c r="H483" s="9"/>
      <c r="I483" s="22"/>
      <c r="J483" s="24"/>
      <c r="K48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83" s="22"/>
    </row>
    <row r="484" spans="1:12" x14ac:dyDescent="0.25">
      <c r="A484" s="13"/>
      <c r="B484" s="7" t="str">
        <f>IF(Tabela22[[#This Row],[Data]]="","",PROPER(TEXT(Tabela22[[#This Row],[Data]],"mmm")))</f>
        <v/>
      </c>
      <c r="C484" s="1" t="str">
        <f>IF(Tabela22[[#This Row],[Data]]="","",PROPER(TEXT(Tabela22[[#This Row],[Data]],"ddd")))</f>
        <v/>
      </c>
      <c r="D484" s="9"/>
      <c r="E484" s="9"/>
      <c r="F484" s="9"/>
      <c r="G484" s="11"/>
      <c r="H484" s="9"/>
      <c r="I484" s="22"/>
      <c r="J484" s="24"/>
      <c r="K48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84" s="22"/>
    </row>
    <row r="485" spans="1:12" x14ac:dyDescent="0.25">
      <c r="A485" s="13"/>
      <c r="B485" s="7" t="str">
        <f>IF(Tabela22[[#This Row],[Data]]="","",PROPER(TEXT(Tabela22[[#This Row],[Data]],"mmm")))</f>
        <v/>
      </c>
      <c r="C485" s="1" t="str">
        <f>IF(Tabela22[[#This Row],[Data]]="","",PROPER(TEXT(Tabela22[[#This Row],[Data]],"ddd")))</f>
        <v/>
      </c>
      <c r="D485" s="9"/>
      <c r="E485" s="9"/>
      <c r="F485" s="9"/>
      <c r="G485" s="11"/>
      <c r="H485" s="9"/>
      <c r="I485" s="22"/>
      <c r="J485" s="24"/>
      <c r="K48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85" s="22"/>
    </row>
    <row r="486" spans="1:12" x14ac:dyDescent="0.25">
      <c r="A486" s="13"/>
      <c r="B486" s="7" t="str">
        <f>IF(Tabela22[[#This Row],[Data]]="","",PROPER(TEXT(Tabela22[[#This Row],[Data]],"mmm")))</f>
        <v/>
      </c>
      <c r="C486" s="1" t="str">
        <f>IF(Tabela22[[#This Row],[Data]]="","",PROPER(TEXT(Tabela22[[#This Row],[Data]],"ddd")))</f>
        <v/>
      </c>
      <c r="D486" s="9"/>
      <c r="E486" s="9"/>
      <c r="F486" s="9"/>
      <c r="G486" s="11"/>
      <c r="H486" s="9"/>
      <c r="I486" s="22"/>
      <c r="J486" s="24"/>
      <c r="K48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86" s="22"/>
    </row>
    <row r="487" spans="1:12" x14ac:dyDescent="0.25">
      <c r="A487" s="13"/>
      <c r="B487" s="7" t="str">
        <f>IF(Tabela22[[#This Row],[Data]]="","",PROPER(TEXT(Tabela22[[#This Row],[Data]],"mmm")))</f>
        <v/>
      </c>
      <c r="C487" s="1" t="str">
        <f>IF(Tabela22[[#This Row],[Data]]="","",PROPER(TEXT(Tabela22[[#This Row],[Data]],"ddd")))</f>
        <v/>
      </c>
      <c r="D487" s="9"/>
      <c r="E487" s="9"/>
      <c r="F487" s="9"/>
      <c r="G487" s="11"/>
      <c r="H487" s="9"/>
      <c r="I487" s="22"/>
      <c r="J487" s="24"/>
      <c r="K48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87" s="22"/>
    </row>
    <row r="488" spans="1:12" x14ac:dyDescent="0.25">
      <c r="A488" s="13"/>
      <c r="B488" s="7" t="str">
        <f>IF(Tabela22[[#This Row],[Data]]="","",PROPER(TEXT(Tabela22[[#This Row],[Data]],"mmm")))</f>
        <v/>
      </c>
      <c r="C488" s="1" t="str">
        <f>IF(Tabela22[[#This Row],[Data]]="","",PROPER(TEXT(Tabela22[[#This Row],[Data]],"ddd")))</f>
        <v/>
      </c>
      <c r="D488" s="9"/>
      <c r="E488" s="9"/>
      <c r="F488" s="9"/>
      <c r="G488" s="11"/>
      <c r="H488" s="9"/>
      <c r="I488" s="22"/>
      <c r="J488" s="24"/>
      <c r="K48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88" s="22"/>
    </row>
    <row r="489" spans="1:12" x14ac:dyDescent="0.25">
      <c r="A489" s="13"/>
      <c r="B489" s="7" t="str">
        <f>IF(Tabela22[[#This Row],[Data]]="","",PROPER(TEXT(Tabela22[[#This Row],[Data]],"mmm")))</f>
        <v/>
      </c>
      <c r="C489" s="1" t="str">
        <f>IF(Tabela22[[#This Row],[Data]]="","",PROPER(TEXT(Tabela22[[#This Row],[Data]],"ddd")))</f>
        <v/>
      </c>
      <c r="D489" s="9"/>
      <c r="E489" s="9"/>
      <c r="F489" s="9"/>
      <c r="G489" s="11"/>
      <c r="H489" s="9"/>
      <c r="I489" s="22"/>
      <c r="J489" s="24"/>
      <c r="K48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89" s="22"/>
    </row>
    <row r="490" spans="1:12" x14ac:dyDescent="0.25">
      <c r="A490" s="13"/>
      <c r="B490" s="7" t="str">
        <f>IF(Tabela22[[#This Row],[Data]]="","",PROPER(TEXT(Tabela22[[#This Row],[Data]],"mmm")))</f>
        <v/>
      </c>
      <c r="C490" s="1" t="str">
        <f>IF(Tabela22[[#This Row],[Data]]="","",PROPER(TEXT(Tabela22[[#This Row],[Data]],"ddd")))</f>
        <v/>
      </c>
      <c r="D490" s="9"/>
      <c r="E490" s="9"/>
      <c r="F490" s="9"/>
      <c r="G490" s="11"/>
      <c r="H490" s="9"/>
      <c r="I490" s="22"/>
      <c r="J490" s="24"/>
      <c r="K49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90" s="22"/>
    </row>
    <row r="491" spans="1:12" x14ac:dyDescent="0.25">
      <c r="A491" s="13"/>
      <c r="B491" s="7" t="str">
        <f>IF(Tabela22[[#This Row],[Data]]="","",PROPER(TEXT(Tabela22[[#This Row],[Data]],"mmm")))</f>
        <v/>
      </c>
      <c r="C491" s="1" t="str">
        <f>IF(Tabela22[[#This Row],[Data]]="","",PROPER(TEXT(Tabela22[[#This Row],[Data]],"ddd")))</f>
        <v/>
      </c>
      <c r="D491" s="9"/>
      <c r="E491" s="9"/>
      <c r="F491" s="9"/>
      <c r="G491" s="11"/>
      <c r="H491" s="9"/>
      <c r="I491" s="22"/>
      <c r="J491" s="24"/>
      <c r="K49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91" s="22"/>
    </row>
    <row r="492" spans="1:12" x14ac:dyDescent="0.25">
      <c r="A492" s="13"/>
      <c r="B492" s="7" t="str">
        <f>IF(Tabela22[[#This Row],[Data]]="","",PROPER(TEXT(Tabela22[[#This Row],[Data]],"mmm")))</f>
        <v/>
      </c>
      <c r="C492" s="1" t="str">
        <f>IF(Tabela22[[#This Row],[Data]]="","",PROPER(TEXT(Tabela22[[#This Row],[Data]],"ddd")))</f>
        <v/>
      </c>
      <c r="D492" s="9"/>
      <c r="E492" s="9"/>
      <c r="F492" s="9"/>
      <c r="G492" s="11"/>
      <c r="H492" s="9"/>
      <c r="I492" s="22"/>
      <c r="J492" s="24"/>
      <c r="K49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92" s="22"/>
    </row>
    <row r="493" spans="1:12" x14ac:dyDescent="0.25">
      <c r="A493" s="13"/>
      <c r="B493" s="7" t="str">
        <f>IF(Tabela22[[#This Row],[Data]]="","",PROPER(TEXT(Tabela22[[#This Row],[Data]],"mmm")))</f>
        <v/>
      </c>
      <c r="C493" s="1" t="str">
        <f>IF(Tabela22[[#This Row],[Data]]="","",PROPER(TEXT(Tabela22[[#This Row],[Data]],"ddd")))</f>
        <v/>
      </c>
      <c r="D493" s="9"/>
      <c r="E493" s="9"/>
      <c r="F493" s="9"/>
      <c r="G493" s="11"/>
      <c r="H493" s="9"/>
      <c r="I493" s="22"/>
      <c r="J493" s="24"/>
      <c r="K49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93" s="22"/>
    </row>
    <row r="494" spans="1:12" x14ac:dyDescent="0.25">
      <c r="A494" s="13"/>
      <c r="B494" s="7" t="str">
        <f>IF(Tabela22[[#This Row],[Data]]="","",PROPER(TEXT(Tabela22[[#This Row],[Data]],"mmm")))</f>
        <v/>
      </c>
      <c r="C494" s="1" t="str">
        <f>IF(Tabela22[[#This Row],[Data]]="","",PROPER(TEXT(Tabela22[[#This Row],[Data]],"ddd")))</f>
        <v/>
      </c>
      <c r="D494" s="9"/>
      <c r="E494" s="9"/>
      <c r="F494" s="9"/>
      <c r="G494" s="11"/>
      <c r="H494" s="9"/>
      <c r="I494" s="22"/>
      <c r="J494" s="24"/>
      <c r="K49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94" s="22"/>
    </row>
    <row r="495" spans="1:12" x14ac:dyDescent="0.25">
      <c r="A495" s="13"/>
      <c r="B495" s="7" t="str">
        <f>IF(Tabela22[[#This Row],[Data]]="","",PROPER(TEXT(Tabela22[[#This Row],[Data]],"mmm")))</f>
        <v/>
      </c>
      <c r="C495" s="1" t="str">
        <f>IF(Tabela22[[#This Row],[Data]]="","",PROPER(TEXT(Tabela22[[#This Row],[Data]],"ddd")))</f>
        <v/>
      </c>
      <c r="D495" s="9"/>
      <c r="E495" s="9"/>
      <c r="F495" s="9"/>
      <c r="G495" s="11"/>
      <c r="H495" s="9"/>
      <c r="I495" s="22"/>
      <c r="J495" s="24"/>
      <c r="K49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95" s="22"/>
    </row>
    <row r="496" spans="1:12" x14ac:dyDescent="0.25">
      <c r="A496" s="13"/>
      <c r="B496" s="7" t="str">
        <f>IF(Tabela22[[#This Row],[Data]]="","",PROPER(TEXT(Tabela22[[#This Row],[Data]],"mmm")))</f>
        <v/>
      </c>
      <c r="C496" s="1" t="str">
        <f>IF(Tabela22[[#This Row],[Data]]="","",PROPER(TEXT(Tabela22[[#This Row],[Data]],"ddd")))</f>
        <v/>
      </c>
      <c r="D496" s="9"/>
      <c r="E496" s="9"/>
      <c r="F496" s="9"/>
      <c r="G496" s="11"/>
      <c r="H496" s="9"/>
      <c r="I496" s="22"/>
      <c r="J496" s="24"/>
      <c r="K49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96" s="22"/>
    </row>
    <row r="497" spans="1:12" x14ac:dyDescent="0.25">
      <c r="A497" s="13"/>
      <c r="B497" s="7" t="str">
        <f>IF(Tabela22[[#This Row],[Data]]="","",PROPER(TEXT(Tabela22[[#This Row],[Data]],"mmm")))</f>
        <v/>
      </c>
      <c r="C497" s="1" t="str">
        <f>IF(Tabela22[[#This Row],[Data]]="","",PROPER(TEXT(Tabela22[[#This Row],[Data]],"ddd")))</f>
        <v/>
      </c>
      <c r="D497" s="9"/>
      <c r="E497" s="9"/>
      <c r="F497" s="9"/>
      <c r="G497" s="11"/>
      <c r="H497" s="9"/>
      <c r="I497" s="22"/>
      <c r="J497" s="24"/>
      <c r="K49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97" s="22"/>
    </row>
    <row r="498" spans="1:12" x14ac:dyDescent="0.25">
      <c r="A498" s="13"/>
      <c r="B498" s="7" t="str">
        <f>IF(Tabela22[[#This Row],[Data]]="","",PROPER(TEXT(Tabela22[[#This Row],[Data]],"mmm")))</f>
        <v/>
      </c>
      <c r="C498" s="1" t="str">
        <f>IF(Tabela22[[#This Row],[Data]]="","",PROPER(TEXT(Tabela22[[#This Row],[Data]],"ddd")))</f>
        <v/>
      </c>
      <c r="D498" s="9"/>
      <c r="E498" s="9"/>
      <c r="F498" s="9"/>
      <c r="G498" s="11"/>
      <c r="H498" s="9"/>
      <c r="I498" s="22"/>
      <c r="J498" s="24"/>
      <c r="K49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98" s="22"/>
    </row>
    <row r="499" spans="1:12" x14ac:dyDescent="0.25">
      <c r="A499" s="13"/>
      <c r="B499" s="7" t="str">
        <f>IF(Tabela22[[#This Row],[Data]]="","",PROPER(TEXT(Tabela22[[#This Row],[Data]],"mmm")))</f>
        <v/>
      </c>
      <c r="C499" s="1" t="str">
        <f>IF(Tabela22[[#This Row],[Data]]="","",PROPER(TEXT(Tabela22[[#This Row],[Data]],"ddd")))</f>
        <v/>
      </c>
      <c r="D499" s="9"/>
      <c r="E499" s="9"/>
      <c r="F499" s="9"/>
      <c r="G499" s="11"/>
      <c r="H499" s="9"/>
      <c r="I499" s="22"/>
      <c r="J499" s="24"/>
      <c r="K49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499" s="22"/>
    </row>
    <row r="500" spans="1:12" x14ac:dyDescent="0.25">
      <c r="A500" s="13"/>
      <c r="B500" s="7" t="str">
        <f>IF(Tabela22[[#This Row],[Data]]="","",PROPER(TEXT(Tabela22[[#This Row],[Data]],"mmm")))</f>
        <v/>
      </c>
      <c r="C500" s="1" t="str">
        <f>IF(Tabela22[[#This Row],[Data]]="","",PROPER(TEXT(Tabela22[[#This Row],[Data]],"ddd")))</f>
        <v/>
      </c>
      <c r="D500" s="9"/>
      <c r="E500" s="9"/>
      <c r="F500" s="9"/>
      <c r="G500" s="11"/>
      <c r="H500" s="9"/>
      <c r="I500" s="22"/>
      <c r="J500" s="24"/>
      <c r="K50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00" s="22"/>
    </row>
    <row r="501" spans="1:12" x14ac:dyDescent="0.25">
      <c r="A501" s="13"/>
      <c r="B501" s="7" t="str">
        <f>IF(Tabela22[[#This Row],[Data]]="","",PROPER(TEXT(Tabela22[[#This Row],[Data]],"mmm")))</f>
        <v/>
      </c>
      <c r="C501" s="1" t="str">
        <f>IF(Tabela22[[#This Row],[Data]]="","",PROPER(TEXT(Tabela22[[#This Row],[Data]],"ddd")))</f>
        <v/>
      </c>
      <c r="D501" s="9"/>
      <c r="E501" s="9"/>
      <c r="F501" s="9"/>
      <c r="G501" s="11"/>
      <c r="H501" s="9"/>
      <c r="I501" s="22"/>
      <c r="J501" s="24"/>
      <c r="K50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01" s="22"/>
    </row>
    <row r="502" spans="1:12" x14ac:dyDescent="0.25">
      <c r="A502" s="13"/>
      <c r="B502" s="7" t="str">
        <f>IF(Tabela22[[#This Row],[Data]]="","",PROPER(TEXT(Tabela22[[#This Row],[Data]],"mmm")))</f>
        <v/>
      </c>
      <c r="C502" s="1" t="str">
        <f>IF(Tabela22[[#This Row],[Data]]="","",PROPER(TEXT(Tabela22[[#This Row],[Data]],"ddd")))</f>
        <v/>
      </c>
      <c r="D502" s="9"/>
      <c r="E502" s="9"/>
      <c r="F502" s="9"/>
      <c r="G502" s="11"/>
      <c r="H502" s="9"/>
      <c r="I502" s="22"/>
      <c r="J502" s="24"/>
      <c r="K50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02" s="22"/>
    </row>
    <row r="503" spans="1:12" x14ac:dyDescent="0.25">
      <c r="A503" s="13"/>
      <c r="B503" s="7" t="str">
        <f>IF(Tabela22[[#This Row],[Data]]="","",PROPER(TEXT(Tabela22[[#This Row],[Data]],"mmm")))</f>
        <v/>
      </c>
      <c r="C503" s="1" t="str">
        <f>IF(Tabela22[[#This Row],[Data]]="","",PROPER(TEXT(Tabela22[[#This Row],[Data]],"ddd")))</f>
        <v/>
      </c>
      <c r="D503" s="9"/>
      <c r="E503" s="9"/>
      <c r="F503" s="9"/>
      <c r="G503" s="11"/>
      <c r="H503" s="9"/>
      <c r="I503" s="22"/>
      <c r="J503" s="24"/>
      <c r="K50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03" s="22"/>
    </row>
    <row r="504" spans="1:12" x14ac:dyDescent="0.25">
      <c r="A504" s="13"/>
      <c r="B504" s="7" t="str">
        <f>IF(Tabela22[[#This Row],[Data]]="","",PROPER(TEXT(Tabela22[[#This Row],[Data]],"mmm")))</f>
        <v/>
      </c>
      <c r="C504" s="1" t="str">
        <f>IF(Tabela22[[#This Row],[Data]]="","",PROPER(TEXT(Tabela22[[#This Row],[Data]],"ddd")))</f>
        <v/>
      </c>
      <c r="D504" s="9"/>
      <c r="E504" s="9"/>
      <c r="F504" s="9"/>
      <c r="G504" s="11"/>
      <c r="H504" s="9"/>
      <c r="I504" s="22"/>
      <c r="J504" s="24"/>
      <c r="K50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04" s="22"/>
    </row>
    <row r="505" spans="1:12" x14ac:dyDescent="0.25">
      <c r="A505" s="13"/>
      <c r="B505" s="7" t="str">
        <f>IF(Tabela22[[#This Row],[Data]]="","",PROPER(TEXT(Tabela22[[#This Row],[Data]],"mmm")))</f>
        <v/>
      </c>
      <c r="C505" s="1" t="str">
        <f>IF(Tabela22[[#This Row],[Data]]="","",PROPER(TEXT(Tabela22[[#This Row],[Data]],"ddd")))</f>
        <v/>
      </c>
      <c r="D505" s="9"/>
      <c r="E505" s="9"/>
      <c r="F505" s="9"/>
      <c r="G505" s="11"/>
      <c r="H505" s="9"/>
      <c r="I505" s="22"/>
      <c r="J505" s="24"/>
      <c r="K50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05" s="22"/>
    </row>
    <row r="506" spans="1:12" x14ac:dyDescent="0.25">
      <c r="A506" s="13"/>
      <c r="B506" s="7" t="str">
        <f>IF(Tabela22[[#This Row],[Data]]="","",PROPER(TEXT(Tabela22[[#This Row],[Data]],"mmm")))</f>
        <v/>
      </c>
      <c r="C506" s="1" t="str">
        <f>IF(Tabela22[[#This Row],[Data]]="","",PROPER(TEXT(Tabela22[[#This Row],[Data]],"ddd")))</f>
        <v/>
      </c>
      <c r="D506" s="9"/>
      <c r="E506" s="9"/>
      <c r="F506" s="9"/>
      <c r="G506" s="11"/>
      <c r="H506" s="9"/>
      <c r="I506" s="22"/>
      <c r="J506" s="24"/>
      <c r="K50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06" s="22"/>
    </row>
    <row r="507" spans="1:12" x14ac:dyDescent="0.25">
      <c r="A507" s="13"/>
      <c r="B507" s="7" t="str">
        <f>IF(Tabela22[[#This Row],[Data]]="","",PROPER(TEXT(Tabela22[[#This Row],[Data]],"mmm")))</f>
        <v/>
      </c>
      <c r="C507" s="1" t="str">
        <f>IF(Tabela22[[#This Row],[Data]]="","",PROPER(TEXT(Tabela22[[#This Row],[Data]],"ddd")))</f>
        <v/>
      </c>
      <c r="D507" s="9"/>
      <c r="E507" s="9"/>
      <c r="F507" s="9"/>
      <c r="G507" s="11"/>
      <c r="H507" s="9"/>
      <c r="I507" s="22"/>
      <c r="J507" s="24"/>
      <c r="K50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07" s="22"/>
    </row>
    <row r="508" spans="1:12" x14ac:dyDescent="0.25">
      <c r="A508" s="13"/>
      <c r="B508" s="7" t="str">
        <f>IF(Tabela22[[#This Row],[Data]]="","",PROPER(TEXT(Tabela22[[#This Row],[Data]],"mmm")))</f>
        <v/>
      </c>
      <c r="C508" s="1" t="str">
        <f>IF(Tabela22[[#This Row],[Data]]="","",PROPER(TEXT(Tabela22[[#This Row],[Data]],"ddd")))</f>
        <v/>
      </c>
      <c r="D508" s="9"/>
      <c r="E508" s="9"/>
      <c r="F508" s="9"/>
      <c r="G508" s="11"/>
      <c r="H508" s="9"/>
      <c r="I508" s="22"/>
      <c r="J508" s="24"/>
      <c r="K50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08" s="22"/>
    </row>
    <row r="509" spans="1:12" x14ac:dyDescent="0.25">
      <c r="A509" s="13"/>
      <c r="B509" s="7" t="str">
        <f>IF(Tabela22[[#This Row],[Data]]="","",PROPER(TEXT(Tabela22[[#This Row],[Data]],"mmm")))</f>
        <v/>
      </c>
      <c r="C509" s="1" t="str">
        <f>IF(Tabela22[[#This Row],[Data]]="","",PROPER(TEXT(Tabela22[[#This Row],[Data]],"ddd")))</f>
        <v/>
      </c>
      <c r="D509" s="9"/>
      <c r="E509" s="9"/>
      <c r="F509" s="9"/>
      <c r="G509" s="11"/>
      <c r="H509" s="9"/>
      <c r="I509" s="22"/>
      <c r="J509" s="24"/>
      <c r="K50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09" s="22"/>
    </row>
    <row r="510" spans="1:12" x14ac:dyDescent="0.25">
      <c r="A510" s="13"/>
      <c r="B510" s="7" t="str">
        <f>IF(Tabela22[[#This Row],[Data]]="","",PROPER(TEXT(Tabela22[[#This Row],[Data]],"mmm")))</f>
        <v/>
      </c>
      <c r="C510" s="1" t="str">
        <f>IF(Tabela22[[#This Row],[Data]]="","",PROPER(TEXT(Tabela22[[#This Row],[Data]],"ddd")))</f>
        <v/>
      </c>
      <c r="D510" s="9"/>
      <c r="E510" s="9"/>
      <c r="F510" s="9"/>
      <c r="G510" s="11"/>
      <c r="H510" s="9"/>
      <c r="I510" s="22"/>
      <c r="J510" s="24"/>
      <c r="K51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10" s="22"/>
    </row>
    <row r="511" spans="1:12" x14ac:dyDescent="0.25">
      <c r="A511" s="13"/>
      <c r="B511" s="7" t="str">
        <f>IF(Tabela22[[#This Row],[Data]]="","",PROPER(TEXT(Tabela22[[#This Row],[Data]],"mmm")))</f>
        <v/>
      </c>
      <c r="C511" s="1" t="str">
        <f>IF(Tabela22[[#This Row],[Data]]="","",PROPER(TEXT(Tabela22[[#This Row],[Data]],"ddd")))</f>
        <v/>
      </c>
      <c r="D511" s="9"/>
      <c r="E511" s="9"/>
      <c r="F511" s="9"/>
      <c r="G511" s="11"/>
      <c r="H511" s="9"/>
      <c r="I511" s="22"/>
      <c r="J511" s="24"/>
      <c r="K51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11" s="22"/>
    </row>
    <row r="512" spans="1:12" x14ac:dyDescent="0.25">
      <c r="A512" s="13"/>
      <c r="B512" s="7" t="str">
        <f>IF(Tabela22[[#This Row],[Data]]="","",PROPER(TEXT(Tabela22[[#This Row],[Data]],"mmm")))</f>
        <v/>
      </c>
      <c r="C512" s="1" t="str">
        <f>IF(Tabela22[[#This Row],[Data]]="","",PROPER(TEXT(Tabela22[[#This Row],[Data]],"ddd")))</f>
        <v/>
      </c>
      <c r="D512" s="9"/>
      <c r="E512" s="9"/>
      <c r="F512" s="9"/>
      <c r="G512" s="11"/>
      <c r="H512" s="9"/>
      <c r="I512" s="22"/>
      <c r="J512" s="24"/>
      <c r="K51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12" s="22"/>
    </row>
    <row r="513" spans="1:12" x14ac:dyDescent="0.25">
      <c r="A513" s="13"/>
      <c r="B513" s="7" t="str">
        <f>IF(Tabela22[[#This Row],[Data]]="","",PROPER(TEXT(Tabela22[[#This Row],[Data]],"mmm")))</f>
        <v/>
      </c>
      <c r="C513" s="1" t="str">
        <f>IF(Tabela22[[#This Row],[Data]]="","",PROPER(TEXT(Tabela22[[#This Row],[Data]],"ddd")))</f>
        <v/>
      </c>
      <c r="D513" s="9"/>
      <c r="E513" s="9"/>
      <c r="F513" s="9"/>
      <c r="G513" s="11"/>
      <c r="H513" s="9"/>
      <c r="I513" s="22"/>
      <c r="J513" s="24"/>
      <c r="K51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13" s="22"/>
    </row>
    <row r="514" spans="1:12" x14ac:dyDescent="0.25">
      <c r="A514" s="13"/>
      <c r="B514" s="7" t="str">
        <f>IF(Tabela22[[#This Row],[Data]]="","",PROPER(TEXT(Tabela22[[#This Row],[Data]],"mmm")))</f>
        <v/>
      </c>
      <c r="C514" s="1" t="str">
        <f>IF(Tabela22[[#This Row],[Data]]="","",PROPER(TEXT(Tabela22[[#This Row],[Data]],"ddd")))</f>
        <v/>
      </c>
      <c r="D514" s="9"/>
      <c r="E514" s="9"/>
      <c r="F514" s="9"/>
      <c r="G514" s="11"/>
      <c r="H514" s="9"/>
      <c r="I514" s="22"/>
      <c r="J514" s="24"/>
      <c r="K51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14" s="22"/>
    </row>
    <row r="515" spans="1:12" x14ac:dyDescent="0.25">
      <c r="A515" s="13"/>
      <c r="B515" s="7" t="str">
        <f>IF(Tabela22[[#This Row],[Data]]="","",PROPER(TEXT(Tabela22[[#This Row],[Data]],"mmm")))</f>
        <v/>
      </c>
      <c r="C515" s="1" t="str">
        <f>IF(Tabela22[[#This Row],[Data]]="","",PROPER(TEXT(Tabela22[[#This Row],[Data]],"ddd")))</f>
        <v/>
      </c>
      <c r="D515" s="9"/>
      <c r="E515" s="9"/>
      <c r="F515" s="9"/>
      <c r="G515" s="11"/>
      <c r="H515" s="9"/>
      <c r="I515" s="22"/>
      <c r="J515" s="24"/>
      <c r="K51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15" s="22"/>
    </row>
    <row r="516" spans="1:12" x14ac:dyDescent="0.25">
      <c r="A516" s="13"/>
      <c r="B516" s="7" t="str">
        <f>IF(Tabela22[[#This Row],[Data]]="","",PROPER(TEXT(Tabela22[[#This Row],[Data]],"mmm")))</f>
        <v/>
      </c>
      <c r="C516" s="1" t="str">
        <f>IF(Tabela22[[#This Row],[Data]]="","",PROPER(TEXT(Tabela22[[#This Row],[Data]],"ddd")))</f>
        <v/>
      </c>
      <c r="D516" s="9"/>
      <c r="E516" s="9"/>
      <c r="F516" s="9"/>
      <c r="G516" s="11"/>
      <c r="H516" s="9"/>
      <c r="I516" s="22"/>
      <c r="J516" s="24"/>
      <c r="K51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16" s="22"/>
    </row>
    <row r="517" spans="1:12" x14ac:dyDescent="0.25">
      <c r="A517" s="13"/>
      <c r="B517" s="7" t="str">
        <f>IF(Tabela22[[#This Row],[Data]]="","",PROPER(TEXT(Tabela22[[#This Row],[Data]],"mmm")))</f>
        <v/>
      </c>
      <c r="C517" s="1" t="str">
        <f>IF(Tabela22[[#This Row],[Data]]="","",PROPER(TEXT(Tabela22[[#This Row],[Data]],"ddd")))</f>
        <v/>
      </c>
      <c r="D517" s="9"/>
      <c r="E517" s="9"/>
      <c r="F517" s="9"/>
      <c r="G517" s="11"/>
      <c r="H517" s="9"/>
      <c r="I517" s="22"/>
      <c r="J517" s="24"/>
      <c r="K51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17" s="22"/>
    </row>
    <row r="518" spans="1:12" x14ac:dyDescent="0.25">
      <c r="A518" s="13"/>
      <c r="B518" s="7" t="str">
        <f>IF(Tabela22[[#This Row],[Data]]="","",PROPER(TEXT(Tabela22[[#This Row],[Data]],"mmm")))</f>
        <v/>
      </c>
      <c r="C518" s="1" t="str">
        <f>IF(Tabela22[[#This Row],[Data]]="","",PROPER(TEXT(Tabela22[[#This Row],[Data]],"ddd")))</f>
        <v/>
      </c>
      <c r="D518" s="9"/>
      <c r="E518" s="9"/>
      <c r="F518" s="9"/>
      <c r="G518" s="11"/>
      <c r="H518" s="9"/>
      <c r="I518" s="22"/>
      <c r="J518" s="24"/>
      <c r="K51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18" s="22"/>
    </row>
    <row r="519" spans="1:12" x14ac:dyDescent="0.25">
      <c r="A519" s="13"/>
      <c r="B519" s="7" t="str">
        <f>IF(Tabela22[[#This Row],[Data]]="","",PROPER(TEXT(Tabela22[[#This Row],[Data]],"mmm")))</f>
        <v/>
      </c>
      <c r="C519" s="1" t="str">
        <f>IF(Tabela22[[#This Row],[Data]]="","",PROPER(TEXT(Tabela22[[#This Row],[Data]],"ddd")))</f>
        <v/>
      </c>
      <c r="D519" s="9"/>
      <c r="E519" s="9"/>
      <c r="F519" s="9"/>
      <c r="G519" s="11"/>
      <c r="H519" s="9"/>
      <c r="I519" s="22"/>
      <c r="J519" s="24"/>
      <c r="K51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19" s="22"/>
    </row>
    <row r="520" spans="1:12" x14ac:dyDescent="0.25">
      <c r="A520" s="13"/>
      <c r="B520" s="7" t="str">
        <f>IF(Tabela22[[#This Row],[Data]]="","",PROPER(TEXT(Tabela22[[#This Row],[Data]],"mmm")))</f>
        <v/>
      </c>
      <c r="C520" s="1" t="str">
        <f>IF(Tabela22[[#This Row],[Data]]="","",PROPER(TEXT(Tabela22[[#This Row],[Data]],"ddd")))</f>
        <v/>
      </c>
      <c r="D520" s="9"/>
      <c r="E520" s="9"/>
      <c r="F520" s="9"/>
      <c r="G520" s="11"/>
      <c r="H520" s="9"/>
      <c r="I520" s="22"/>
      <c r="J520" s="24"/>
      <c r="K52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20" s="22"/>
    </row>
    <row r="521" spans="1:12" x14ac:dyDescent="0.25">
      <c r="A521" s="13"/>
      <c r="B521" s="7" t="str">
        <f>IF(Tabela22[[#This Row],[Data]]="","",PROPER(TEXT(Tabela22[[#This Row],[Data]],"mmm")))</f>
        <v/>
      </c>
      <c r="C521" s="1" t="str">
        <f>IF(Tabela22[[#This Row],[Data]]="","",PROPER(TEXT(Tabela22[[#This Row],[Data]],"ddd")))</f>
        <v/>
      </c>
      <c r="D521" s="9"/>
      <c r="E521" s="9"/>
      <c r="F521" s="9"/>
      <c r="G521" s="11"/>
      <c r="H521" s="9"/>
      <c r="I521" s="22"/>
      <c r="J521" s="24"/>
      <c r="K52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21" s="22"/>
    </row>
    <row r="522" spans="1:12" x14ac:dyDescent="0.25">
      <c r="A522" s="13"/>
      <c r="B522" s="7" t="str">
        <f>IF(Tabela22[[#This Row],[Data]]="","",PROPER(TEXT(Tabela22[[#This Row],[Data]],"mmm")))</f>
        <v/>
      </c>
      <c r="C522" s="1" t="str">
        <f>IF(Tabela22[[#This Row],[Data]]="","",PROPER(TEXT(Tabela22[[#This Row],[Data]],"ddd")))</f>
        <v/>
      </c>
      <c r="D522" s="9"/>
      <c r="E522" s="9"/>
      <c r="F522" s="9"/>
      <c r="G522" s="11"/>
      <c r="H522" s="9"/>
      <c r="I522" s="22"/>
      <c r="J522" s="24"/>
      <c r="K52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22" s="22"/>
    </row>
    <row r="523" spans="1:12" x14ac:dyDescent="0.25">
      <c r="A523" s="13"/>
      <c r="B523" s="7" t="str">
        <f>IF(Tabela22[[#This Row],[Data]]="","",PROPER(TEXT(Tabela22[[#This Row],[Data]],"mmm")))</f>
        <v/>
      </c>
      <c r="C523" s="1" t="str">
        <f>IF(Tabela22[[#This Row],[Data]]="","",PROPER(TEXT(Tabela22[[#This Row],[Data]],"ddd")))</f>
        <v/>
      </c>
      <c r="D523" s="9"/>
      <c r="E523" s="9"/>
      <c r="F523" s="9"/>
      <c r="G523" s="11"/>
      <c r="H523" s="9"/>
      <c r="I523" s="22"/>
      <c r="J523" s="24"/>
      <c r="K52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23" s="22"/>
    </row>
    <row r="524" spans="1:12" x14ac:dyDescent="0.25">
      <c r="A524" s="13"/>
      <c r="B524" s="7" t="str">
        <f>IF(Tabela22[[#This Row],[Data]]="","",PROPER(TEXT(Tabela22[[#This Row],[Data]],"mmm")))</f>
        <v/>
      </c>
      <c r="C524" s="1" t="str">
        <f>IF(Tabela22[[#This Row],[Data]]="","",PROPER(TEXT(Tabela22[[#This Row],[Data]],"ddd")))</f>
        <v/>
      </c>
      <c r="D524" s="9"/>
      <c r="E524" s="9"/>
      <c r="F524" s="9"/>
      <c r="G524" s="11"/>
      <c r="H524" s="9"/>
      <c r="I524" s="22"/>
      <c r="J524" s="24"/>
      <c r="K52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24" s="22"/>
    </row>
    <row r="525" spans="1:12" x14ac:dyDescent="0.25">
      <c r="A525" s="13"/>
      <c r="B525" s="7" t="str">
        <f>IF(Tabela22[[#This Row],[Data]]="","",PROPER(TEXT(Tabela22[[#This Row],[Data]],"mmm")))</f>
        <v/>
      </c>
      <c r="C525" s="1" t="str">
        <f>IF(Tabela22[[#This Row],[Data]]="","",PROPER(TEXT(Tabela22[[#This Row],[Data]],"ddd")))</f>
        <v/>
      </c>
      <c r="D525" s="9"/>
      <c r="E525" s="9"/>
      <c r="F525" s="9"/>
      <c r="G525" s="11"/>
      <c r="H525" s="9"/>
      <c r="I525" s="22"/>
      <c r="J525" s="24"/>
      <c r="K52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25" s="22"/>
    </row>
    <row r="526" spans="1:12" x14ac:dyDescent="0.25">
      <c r="A526" s="13"/>
      <c r="B526" s="7" t="str">
        <f>IF(Tabela22[[#This Row],[Data]]="","",PROPER(TEXT(Tabela22[[#This Row],[Data]],"mmm")))</f>
        <v/>
      </c>
      <c r="C526" s="1" t="str">
        <f>IF(Tabela22[[#This Row],[Data]]="","",PROPER(TEXT(Tabela22[[#This Row],[Data]],"ddd")))</f>
        <v/>
      </c>
      <c r="D526" s="9"/>
      <c r="E526" s="9"/>
      <c r="F526" s="9"/>
      <c r="G526" s="11"/>
      <c r="H526" s="9"/>
      <c r="I526" s="22"/>
      <c r="J526" s="24"/>
      <c r="K52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26" s="22"/>
    </row>
    <row r="527" spans="1:12" x14ac:dyDescent="0.25">
      <c r="A527" s="13"/>
      <c r="B527" s="7" t="str">
        <f>IF(Tabela22[[#This Row],[Data]]="","",PROPER(TEXT(Tabela22[[#This Row],[Data]],"mmm")))</f>
        <v/>
      </c>
      <c r="C527" s="1" t="str">
        <f>IF(Tabela22[[#This Row],[Data]]="","",PROPER(TEXT(Tabela22[[#This Row],[Data]],"ddd")))</f>
        <v/>
      </c>
      <c r="D527" s="9"/>
      <c r="E527" s="9"/>
      <c r="F527" s="9"/>
      <c r="G527" s="11"/>
      <c r="H527" s="9"/>
      <c r="I527" s="22"/>
      <c r="J527" s="24"/>
      <c r="K52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27" s="22"/>
    </row>
    <row r="528" spans="1:12" x14ac:dyDescent="0.25">
      <c r="A528" s="13"/>
      <c r="B528" s="7" t="str">
        <f>IF(Tabela22[[#This Row],[Data]]="","",PROPER(TEXT(Tabela22[[#This Row],[Data]],"mmm")))</f>
        <v/>
      </c>
      <c r="C528" s="1" t="str">
        <f>IF(Tabela22[[#This Row],[Data]]="","",PROPER(TEXT(Tabela22[[#This Row],[Data]],"ddd")))</f>
        <v/>
      </c>
      <c r="D528" s="9"/>
      <c r="E528" s="9"/>
      <c r="F528" s="9"/>
      <c r="G528" s="11"/>
      <c r="H528" s="9"/>
      <c r="I528" s="22"/>
      <c r="J528" s="24"/>
      <c r="K52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28" s="22"/>
    </row>
    <row r="529" spans="1:12" x14ac:dyDescent="0.25">
      <c r="A529" s="13"/>
      <c r="B529" s="7" t="str">
        <f>IF(Tabela22[[#This Row],[Data]]="","",PROPER(TEXT(Tabela22[[#This Row],[Data]],"mmm")))</f>
        <v/>
      </c>
      <c r="C529" s="1" t="str">
        <f>IF(Tabela22[[#This Row],[Data]]="","",PROPER(TEXT(Tabela22[[#This Row],[Data]],"ddd")))</f>
        <v/>
      </c>
      <c r="D529" s="9"/>
      <c r="E529" s="9"/>
      <c r="F529" s="9"/>
      <c r="G529" s="11"/>
      <c r="H529" s="9"/>
      <c r="I529" s="22"/>
      <c r="J529" s="24"/>
      <c r="K52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29" s="22"/>
    </row>
    <row r="530" spans="1:12" x14ac:dyDescent="0.25">
      <c r="A530" s="13"/>
      <c r="B530" s="7" t="str">
        <f>IF(Tabela22[[#This Row],[Data]]="","",PROPER(TEXT(Tabela22[[#This Row],[Data]],"mmm")))</f>
        <v/>
      </c>
      <c r="C530" s="1" t="str">
        <f>IF(Tabela22[[#This Row],[Data]]="","",PROPER(TEXT(Tabela22[[#This Row],[Data]],"ddd")))</f>
        <v/>
      </c>
      <c r="D530" s="9"/>
      <c r="E530" s="9"/>
      <c r="F530" s="9"/>
      <c r="G530" s="11"/>
      <c r="H530" s="9"/>
      <c r="I530" s="22"/>
      <c r="J530" s="24"/>
      <c r="K53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30" s="22"/>
    </row>
    <row r="531" spans="1:12" x14ac:dyDescent="0.25">
      <c r="A531" s="13"/>
      <c r="B531" s="7" t="str">
        <f>IF(Tabela22[[#This Row],[Data]]="","",PROPER(TEXT(Tabela22[[#This Row],[Data]],"mmm")))</f>
        <v/>
      </c>
      <c r="C531" s="1" t="str">
        <f>IF(Tabela22[[#This Row],[Data]]="","",PROPER(TEXT(Tabela22[[#This Row],[Data]],"ddd")))</f>
        <v/>
      </c>
      <c r="D531" s="9"/>
      <c r="E531" s="9"/>
      <c r="F531" s="9"/>
      <c r="G531" s="11"/>
      <c r="H531" s="9"/>
      <c r="I531" s="22"/>
      <c r="J531" s="24"/>
      <c r="K53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31" s="22"/>
    </row>
    <row r="532" spans="1:12" x14ac:dyDescent="0.25">
      <c r="A532" s="13"/>
      <c r="B532" s="7" t="str">
        <f>IF(Tabela22[[#This Row],[Data]]="","",PROPER(TEXT(Tabela22[[#This Row],[Data]],"mmm")))</f>
        <v/>
      </c>
      <c r="C532" s="1" t="str">
        <f>IF(Tabela22[[#This Row],[Data]]="","",PROPER(TEXT(Tabela22[[#This Row],[Data]],"ddd")))</f>
        <v/>
      </c>
      <c r="D532" s="9"/>
      <c r="E532" s="9"/>
      <c r="F532" s="9"/>
      <c r="G532" s="11"/>
      <c r="H532" s="9"/>
      <c r="I532" s="22"/>
      <c r="J532" s="24"/>
      <c r="K53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32" s="22"/>
    </row>
    <row r="533" spans="1:12" x14ac:dyDescent="0.25">
      <c r="A533" s="13"/>
      <c r="B533" s="7" t="str">
        <f>IF(Tabela22[[#This Row],[Data]]="","",PROPER(TEXT(Tabela22[[#This Row],[Data]],"mmm")))</f>
        <v/>
      </c>
      <c r="C533" s="1" t="str">
        <f>IF(Tabela22[[#This Row],[Data]]="","",PROPER(TEXT(Tabela22[[#This Row],[Data]],"ddd")))</f>
        <v/>
      </c>
      <c r="D533" s="9"/>
      <c r="E533" s="9"/>
      <c r="F533" s="9"/>
      <c r="G533" s="11"/>
      <c r="H533" s="9"/>
      <c r="I533" s="22"/>
      <c r="J533" s="24"/>
      <c r="K53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33" s="22"/>
    </row>
    <row r="534" spans="1:12" x14ac:dyDescent="0.25">
      <c r="A534" s="13"/>
      <c r="B534" s="7" t="str">
        <f>IF(Tabela22[[#This Row],[Data]]="","",PROPER(TEXT(Tabela22[[#This Row],[Data]],"mmm")))</f>
        <v/>
      </c>
      <c r="C534" s="1" t="str">
        <f>IF(Tabela22[[#This Row],[Data]]="","",PROPER(TEXT(Tabela22[[#This Row],[Data]],"ddd")))</f>
        <v/>
      </c>
      <c r="D534" s="9"/>
      <c r="E534" s="9"/>
      <c r="F534" s="9"/>
      <c r="G534" s="11"/>
      <c r="H534" s="9"/>
      <c r="I534" s="22"/>
      <c r="J534" s="24"/>
      <c r="K53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34" s="22"/>
    </row>
    <row r="535" spans="1:12" x14ac:dyDescent="0.25">
      <c r="A535" s="13"/>
      <c r="B535" s="7" t="str">
        <f>IF(Tabela22[[#This Row],[Data]]="","",PROPER(TEXT(Tabela22[[#This Row],[Data]],"mmm")))</f>
        <v/>
      </c>
      <c r="C535" s="1" t="str">
        <f>IF(Tabela22[[#This Row],[Data]]="","",PROPER(TEXT(Tabela22[[#This Row],[Data]],"ddd")))</f>
        <v/>
      </c>
      <c r="D535" s="9"/>
      <c r="E535" s="9"/>
      <c r="F535" s="9"/>
      <c r="G535" s="11"/>
      <c r="H535" s="9"/>
      <c r="I535" s="22"/>
      <c r="J535" s="24"/>
      <c r="K53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35" s="22"/>
    </row>
    <row r="536" spans="1:12" x14ac:dyDescent="0.25">
      <c r="A536" s="13"/>
      <c r="B536" s="7" t="str">
        <f>IF(Tabela22[[#This Row],[Data]]="","",PROPER(TEXT(Tabela22[[#This Row],[Data]],"mmm")))</f>
        <v/>
      </c>
      <c r="C536" s="1" t="str">
        <f>IF(Tabela22[[#This Row],[Data]]="","",PROPER(TEXT(Tabela22[[#This Row],[Data]],"ddd")))</f>
        <v/>
      </c>
      <c r="D536" s="9"/>
      <c r="E536" s="9"/>
      <c r="F536" s="9"/>
      <c r="G536" s="11"/>
      <c r="H536" s="9"/>
      <c r="I536" s="22"/>
      <c r="J536" s="24"/>
      <c r="K53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36" s="22"/>
    </row>
    <row r="537" spans="1:12" x14ac:dyDescent="0.25">
      <c r="A537" s="13"/>
      <c r="B537" s="7" t="str">
        <f>IF(Tabela22[[#This Row],[Data]]="","",PROPER(TEXT(Tabela22[[#This Row],[Data]],"mmm")))</f>
        <v/>
      </c>
      <c r="C537" s="1" t="str">
        <f>IF(Tabela22[[#This Row],[Data]]="","",PROPER(TEXT(Tabela22[[#This Row],[Data]],"ddd")))</f>
        <v/>
      </c>
      <c r="D537" s="9"/>
      <c r="E537" s="9"/>
      <c r="F537" s="9"/>
      <c r="G537" s="11"/>
      <c r="H537" s="9"/>
      <c r="I537" s="22"/>
      <c r="J537" s="24"/>
      <c r="K53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37" s="22"/>
    </row>
    <row r="538" spans="1:12" x14ac:dyDescent="0.25">
      <c r="A538" s="13"/>
      <c r="B538" s="7" t="str">
        <f>IF(Tabela22[[#This Row],[Data]]="","",PROPER(TEXT(Tabela22[[#This Row],[Data]],"mmm")))</f>
        <v/>
      </c>
      <c r="C538" s="1" t="str">
        <f>IF(Tabela22[[#This Row],[Data]]="","",PROPER(TEXT(Tabela22[[#This Row],[Data]],"ddd")))</f>
        <v/>
      </c>
      <c r="D538" s="9"/>
      <c r="E538" s="9"/>
      <c r="F538" s="9"/>
      <c r="G538" s="11"/>
      <c r="H538" s="9"/>
      <c r="I538" s="22"/>
      <c r="J538" s="24"/>
      <c r="K53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38" s="22"/>
    </row>
    <row r="539" spans="1:12" x14ac:dyDescent="0.25">
      <c r="A539" s="13"/>
      <c r="B539" s="7" t="str">
        <f>IF(Tabela22[[#This Row],[Data]]="","",PROPER(TEXT(Tabela22[[#This Row],[Data]],"mmm")))</f>
        <v/>
      </c>
      <c r="C539" s="1" t="str">
        <f>IF(Tabela22[[#This Row],[Data]]="","",PROPER(TEXT(Tabela22[[#This Row],[Data]],"ddd")))</f>
        <v/>
      </c>
      <c r="D539" s="9"/>
      <c r="E539" s="9"/>
      <c r="F539" s="9"/>
      <c r="G539" s="11"/>
      <c r="H539" s="9"/>
      <c r="I539" s="22"/>
      <c r="J539" s="24"/>
      <c r="K53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39" s="22"/>
    </row>
    <row r="540" spans="1:12" x14ac:dyDescent="0.25">
      <c r="A540" s="13"/>
      <c r="B540" s="7" t="str">
        <f>IF(Tabela22[[#This Row],[Data]]="","",PROPER(TEXT(Tabela22[[#This Row],[Data]],"mmm")))</f>
        <v/>
      </c>
      <c r="C540" s="1" t="str">
        <f>IF(Tabela22[[#This Row],[Data]]="","",PROPER(TEXT(Tabela22[[#This Row],[Data]],"ddd")))</f>
        <v/>
      </c>
      <c r="D540" s="9"/>
      <c r="E540" s="9"/>
      <c r="F540" s="9"/>
      <c r="G540" s="11"/>
      <c r="H540" s="9"/>
      <c r="I540" s="22"/>
      <c r="J540" s="24"/>
      <c r="K54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40" s="22"/>
    </row>
    <row r="541" spans="1:12" x14ac:dyDescent="0.25">
      <c r="A541" s="13"/>
      <c r="B541" s="7" t="str">
        <f>IF(Tabela22[[#This Row],[Data]]="","",PROPER(TEXT(Tabela22[[#This Row],[Data]],"mmm")))</f>
        <v/>
      </c>
      <c r="C541" s="1" t="str">
        <f>IF(Tabela22[[#This Row],[Data]]="","",PROPER(TEXT(Tabela22[[#This Row],[Data]],"ddd")))</f>
        <v/>
      </c>
      <c r="D541" s="9"/>
      <c r="E541" s="9"/>
      <c r="F541" s="9"/>
      <c r="G541" s="11"/>
      <c r="H541" s="9"/>
      <c r="I541" s="22"/>
      <c r="J541" s="24"/>
      <c r="K54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41" s="22"/>
    </row>
    <row r="542" spans="1:12" x14ac:dyDescent="0.25">
      <c r="A542" s="13"/>
      <c r="B542" s="7" t="str">
        <f>IF(Tabela22[[#This Row],[Data]]="","",PROPER(TEXT(Tabela22[[#This Row],[Data]],"mmm")))</f>
        <v/>
      </c>
      <c r="C542" s="1" t="str">
        <f>IF(Tabela22[[#This Row],[Data]]="","",PROPER(TEXT(Tabela22[[#This Row],[Data]],"ddd")))</f>
        <v/>
      </c>
      <c r="D542" s="9"/>
      <c r="E542" s="9"/>
      <c r="F542" s="9"/>
      <c r="G542" s="11"/>
      <c r="H542" s="9"/>
      <c r="I542" s="22"/>
      <c r="J542" s="24"/>
      <c r="K54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42" s="22"/>
    </row>
    <row r="543" spans="1:12" x14ac:dyDescent="0.25">
      <c r="A543" s="13"/>
      <c r="B543" s="7" t="str">
        <f>IF(Tabela22[[#This Row],[Data]]="","",PROPER(TEXT(Tabela22[[#This Row],[Data]],"mmm")))</f>
        <v/>
      </c>
      <c r="C543" s="1" t="str">
        <f>IF(Tabela22[[#This Row],[Data]]="","",PROPER(TEXT(Tabela22[[#This Row],[Data]],"ddd")))</f>
        <v/>
      </c>
      <c r="D543" s="9"/>
      <c r="E543" s="9"/>
      <c r="F543" s="9"/>
      <c r="G543" s="11"/>
      <c r="H543" s="9"/>
      <c r="I543" s="22"/>
      <c r="J543" s="24"/>
      <c r="K54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43" s="22"/>
    </row>
    <row r="544" spans="1:12" x14ac:dyDescent="0.25">
      <c r="A544" s="13"/>
      <c r="B544" s="7" t="str">
        <f>IF(Tabela22[[#This Row],[Data]]="","",PROPER(TEXT(Tabela22[[#This Row],[Data]],"mmm")))</f>
        <v/>
      </c>
      <c r="C544" s="1" t="str">
        <f>IF(Tabela22[[#This Row],[Data]]="","",PROPER(TEXT(Tabela22[[#This Row],[Data]],"ddd")))</f>
        <v/>
      </c>
      <c r="D544" s="9"/>
      <c r="E544" s="9"/>
      <c r="F544" s="9"/>
      <c r="G544" s="11"/>
      <c r="H544" s="9"/>
      <c r="I544" s="22"/>
      <c r="J544" s="24"/>
      <c r="K54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44" s="22"/>
    </row>
    <row r="545" spans="1:12" x14ac:dyDescent="0.25">
      <c r="A545" s="13"/>
      <c r="B545" s="7" t="str">
        <f>IF(Tabela22[[#This Row],[Data]]="","",PROPER(TEXT(Tabela22[[#This Row],[Data]],"mmm")))</f>
        <v/>
      </c>
      <c r="C545" s="1" t="str">
        <f>IF(Tabela22[[#This Row],[Data]]="","",PROPER(TEXT(Tabela22[[#This Row],[Data]],"ddd")))</f>
        <v/>
      </c>
      <c r="D545" s="9"/>
      <c r="E545" s="9"/>
      <c r="F545" s="9"/>
      <c r="G545" s="11"/>
      <c r="H545" s="9"/>
      <c r="I545" s="22"/>
      <c r="J545" s="24"/>
      <c r="K54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45" s="22"/>
    </row>
    <row r="546" spans="1:12" x14ac:dyDescent="0.25">
      <c r="A546" s="13"/>
      <c r="B546" s="7" t="str">
        <f>IF(Tabela22[[#This Row],[Data]]="","",PROPER(TEXT(Tabela22[[#This Row],[Data]],"mmm")))</f>
        <v/>
      </c>
      <c r="C546" s="1" t="str">
        <f>IF(Tabela22[[#This Row],[Data]]="","",PROPER(TEXT(Tabela22[[#This Row],[Data]],"ddd")))</f>
        <v/>
      </c>
      <c r="D546" s="9"/>
      <c r="E546" s="9"/>
      <c r="F546" s="9"/>
      <c r="G546" s="11"/>
      <c r="H546" s="9"/>
      <c r="I546" s="22"/>
      <c r="J546" s="24"/>
      <c r="K54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46" s="22"/>
    </row>
    <row r="547" spans="1:12" x14ac:dyDescent="0.25">
      <c r="A547" s="13"/>
      <c r="B547" s="7" t="str">
        <f>IF(Tabela22[[#This Row],[Data]]="","",PROPER(TEXT(Tabela22[[#This Row],[Data]],"mmm")))</f>
        <v/>
      </c>
      <c r="C547" s="1" t="str">
        <f>IF(Tabela22[[#This Row],[Data]]="","",PROPER(TEXT(Tabela22[[#This Row],[Data]],"ddd")))</f>
        <v/>
      </c>
      <c r="D547" s="9"/>
      <c r="E547" s="9"/>
      <c r="F547" s="9"/>
      <c r="G547" s="11"/>
      <c r="H547" s="9"/>
      <c r="I547" s="22"/>
      <c r="J547" s="24"/>
      <c r="K54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47" s="22"/>
    </row>
    <row r="548" spans="1:12" x14ac:dyDescent="0.25">
      <c r="A548" s="13"/>
      <c r="B548" s="7" t="str">
        <f>IF(Tabela22[[#This Row],[Data]]="","",PROPER(TEXT(Tabela22[[#This Row],[Data]],"mmm")))</f>
        <v/>
      </c>
      <c r="C548" s="1" t="str">
        <f>IF(Tabela22[[#This Row],[Data]]="","",PROPER(TEXT(Tabela22[[#This Row],[Data]],"ddd")))</f>
        <v/>
      </c>
      <c r="D548" s="9"/>
      <c r="E548" s="9"/>
      <c r="F548" s="9"/>
      <c r="G548" s="11"/>
      <c r="H548" s="9"/>
      <c r="I548" s="22"/>
      <c r="J548" s="24"/>
      <c r="K54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48" s="22"/>
    </row>
    <row r="549" spans="1:12" x14ac:dyDescent="0.25">
      <c r="A549" s="13"/>
      <c r="B549" s="7" t="str">
        <f>IF(Tabela22[[#This Row],[Data]]="","",PROPER(TEXT(Tabela22[[#This Row],[Data]],"mmm")))</f>
        <v/>
      </c>
      <c r="C549" s="1" t="str">
        <f>IF(Tabela22[[#This Row],[Data]]="","",PROPER(TEXT(Tabela22[[#This Row],[Data]],"ddd")))</f>
        <v/>
      </c>
      <c r="D549" s="9"/>
      <c r="E549" s="9"/>
      <c r="F549" s="9"/>
      <c r="G549" s="11"/>
      <c r="H549" s="9"/>
      <c r="I549" s="22"/>
      <c r="J549" s="24"/>
      <c r="K54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49" s="22"/>
    </row>
    <row r="550" spans="1:12" x14ac:dyDescent="0.25">
      <c r="A550" s="13"/>
      <c r="B550" s="7" t="str">
        <f>IF(Tabela22[[#This Row],[Data]]="","",PROPER(TEXT(Tabela22[[#This Row],[Data]],"mmm")))</f>
        <v/>
      </c>
      <c r="C550" s="1" t="str">
        <f>IF(Tabela22[[#This Row],[Data]]="","",PROPER(TEXT(Tabela22[[#This Row],[Data]],"ddd")))</f>
        <v/>
      </c>
      <c r="D550" s="9"/>
      <c r="E550" s="9"/>
      <c r="F550" s="9"/>
      <c r="G550" s="11"/>
      <c r="H550" s="9"/>
      <c r="I550" s="22"/>
      <c r="J550" s="24"/>
      <c r="K55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50" s="22"/>
    </row>
    <row r="551" spans="1:12" x14ac:dyDescent="0.25">
      <c r="A551" s="13"/>
      <c r="B551" s="7" t="str">
        <f>IF(Tabela22[[#This Row],[Data]]="","",PROPER(TEXT(Tabela22[[#This Row],[Data]],"mmm")))</f>
        <v/>
      </c>
      <c r="C551" s="1" t="str">
        <f>IF(Tabela22[[#This Row],[Data]]="","",PROPER(TEXT(Tabela22[[#This Row],[Data]],"ddd")))</f>
        <v/>
      </c>
      <c r="D551" s="9"/>
      <c r="E551" s="9"/>
      <c r="F551" s="9"/>
      <c r="G551" s="11"/>
      <c r="H551" s="9"/>
      <c r="I551" s="22"/>
      <c r="J551" s="24"/>
      <c r="K55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51" s="22"/>
    </row>
    <row r="552" spans="1:12" x14ac:dyDescent="0.25">
      <c r="A552" s="13"/>
      <c r="B552" s="7" t="str">
        <f>IF(Tabela22[[#This Row],[Data]]="","",PROPER(TEXT(Tabela22[[#This Row],[Data]],"mmm")))</f>
        <v/>
      </c>
      <c r="C552" s="1" t="str">
        <f>IF(Tabela22[[#This Row],[Data]]="","",PROPER(TEXT(Tabela22[[#This Row],[Data]],"ddd")))</f>
        <v/>
      </c>
      <c r="D552" s="9"/>
      <c r="E552" s="9"/>
      <c r="F552" s="9"/>
      <c r="G552" s="11"/>
      <c r="H552" s="9"/>
      <c r="I552" s="22"/>
      <c r="J552" s="24"/>
      <c r="K55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52" s="22"/>
    </row>
    <row r="553" spans="1:12" x14ac:dyDescent="0.25">
      <c r="A553" s="13"/>
      <c r="B553" s="7" t="str">
        <f>IF(Tabela22[[#This Row],[Data]]="","",PROPER(TEXT(Tabela22[[#This Row],[Data]],"mmm")))</f>
        <v/>
      </c>
      <c r="C553" s="1" t="str">
        <f>IF(Tabela22[[#This Row],[Data]]="","",PROPER(TEXT(Tabela22[[#This Row],[Data]],"ddd")))</f>
        <v/>
      </c>
      <c r="D553" s="9"/>
      <c r="E553" s="9"/>
      <c r="F553" s="9"/>
      <c r="G553" s="11"/>
      <c r="H553" s="9"/>
      <c r="I553" s="22"/>
      <c r="J553" s="24"/>
      <c r="K55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53" s="22"/>
    </row>
    <row r="554" spans="1:12" x14ac:dyDescent="0.25">
      <c r="A554" s="13"/>
      <c r="B554" s="7" t="str">
        <f>IF(Tabela22[[#This Row],[Data]]="","",PROPER(TEXT(Tabela22[[#This Row],[Data]],"mmm")))</f>
        <v/>
      </c>
      <c r="C554" s="1" t="str">
        <f>IF(Tabela22[[#This Row],[Data]]="","",PROPER(TEXT(Tabela22[[#This Row],[Data]],"ddd")))</f>
        <v/>
      </c>
      <c r="D554" s="9"/>
      <c r="E554" s="9"/>
      <c r="F554" s="9"/>
      <c r="G554" s="11"/>
      <c r="H554" s="9"/>
      <c r="I554" s="22"/>
      <c r="J554" s="24"/>
      <c r="K55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54" s="22"/>
    </row>
    <row r="555" spans="1:12" x14ac:dyDescent="0.25">
      <c r="A555" s="13"/>
      <c r="B555" s="7" t="str">
        <f>IF(Tabela22[[#This Row],[Data]]="","",PROPER(TEXT(Tabela22[[#This Row],[Data]],"mmm")))</f>
        <v/>
      </c>
      <c r="C555" s="1" t="str">
        <f>IF(Tabela22[[#This Row],[Data]]="","",PROPER(TEXT(Tabela22[[#This Row],[Data]],"ddd")))</f>
        <v/>
      </c>
      <c r="D555" s="9"/>
      <c r="E555" s="9"/>
      <c r="F555" s="9"/>
      <c r="G555" s="11"/>
      <c r="H555" s="9"/>
      <c r="I555" s="22"/>
      <c r="J555" s="24"/>
      <c r="K55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55" s="22"/>
    </row>
    <row r="556" spans="1:12" x14ac:dyDescent="0.25">
      <c r="A556" s="13"/>
      <c r="B556" s="7" t="str">
        <f>IF(Tabela22[[#This Row],[Data]]="","",PROPER(TEXT(Tabela22[[#This Row],[Data]],"mmm")))</f>
        <v/>
      </c>
      <c r="C556" s="1" t="str">
        <f>IF(Tabela22[[#This Row],[Data]]="","",PROPER(TEXT(Tabela22[[#This Row],[Data]],"ddd")))</f>
        <v/>
      </c>
      <c r="D556" s="9"/>
      <c r="E556" s="9"/>
      <c r="F556" s="9"/>
      <c r="G556" s="11"/>
      <c r="H556" s="9"/>
      <c r="I556" s="22"/>
      <c r="J556" s="24"/>
      <c r="K55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56" s="22"/>
    </row>
    <row r="557" spans="1:12" x14ac:dyDescent="0.25">
      <c r="A557" s="13"/>
      <c r="B557" s="7" t="str">
        <f>IF(Tabela22[[#This Row],[Data]]="","",PROPER(TEXT(Tabela22[[#This Row],[Data]],"mmm")))</f>
        <v/>
      </c>
      <c r="C557" s="1" t="str">
        <f>IF(Tabela22[[#This Row],[Data]]="","",PROPER(TEXT(Tabela22[[#This Row],[Data]],"ddd")))</f>
        <v/>
      </c>
      <c r="D557" s="9"/>
      <c r="E557" s="9"/>
      <c r="F557" s="9"/>
      <c r="G557" s="11"/>
      <c r="H557" s="9"/>
      <c r="I557" s="22"/>
      <c r="J557" s="24"/>
      <c r="K55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57" s="22"/>
    </row>
    <row r="558" spans="1:12" x14ac:dyDescent="0.25">
      <c r="A558" s="13"/>
      <c r="B558" s="7" t="str">
        <f>IF(Tabela22[[#This Row],[Data]]="","",PROPER(TEXT(Tabela22[[#This Row],[Data]],"mmm")))</f>
        <v/>
      </c>
      <c r="C558" s="1" t="str">
        <f>IF(Tabela22[[#This Row],[Data]]="","",PROPER(TEXT(Tabela22[[#This Row],[Data]],"ddd")))</f>
        <v/>
      </c>
      <c r="D558" s="9"/>
      <c r="E558" s="9"/>
      <c r="F558" s="9"/>
      <c r="G558" s="11"/>
      <c r="H558" s="9"/>
      <c r="I558" s="22"/>
      <c r="J558" s="24"/>
      <c r="K55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58" s="22"/>
    </row>
    <row r="559" spans="1:12" x14ac:dyDescent="0.25">
      <c r="A559" s="13"/>
      <c r="B559" s="7" t="str">
        <f>IF(Tabela22[[#This Row],[Data]]="","",PROPER(TEXT(Tabela22[[#This Row],[Data]],"mmm")))</f>
        <v/>
      </c>
      <c r="C559" s="1" t="str">
        <f>IF(Tabela22[[#This Row],[Data]]="","",PROPER(TEXT(Tabela22[[#This Row],[Data]],"ddd")))</f>
        <v/>
      </c>
      <c r="D559" s="9"/>
      <c r="E559" s="9"/>
      <c r="F559" s="9"/>
      <c r="G559" s="11"/>
      <c r="H559" s="9"/>
      <c r="I559" s="22"/>
      <c r="J559" s="24"/>
      <c r="K55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59" s="22"/>
    </row>
    <row r="560" spans="1:12" x14ac:dyDescent="0.25">
      <c r="A560" s="13"/>
      <c r="B560" s="7" t="str">
        <f>IF(Tabela22[[#This Row],[Data]]="","",PROPER(TEXT(Tabela22[[#This Row],[Data]],"mmm")))</f>
        <v/>
      </c>
      <c r="C560" s="1" t="str">
        <f>IF(Tabela22[[#This Row],[Data]]="","",PROPER(TEXT(Tabela22[[#This Row],[Data]],"ddd")))</f>
        <v/>
      </c>
      <c r="D560" s="9"/>
      <c r="E560" s="9"/>
      <c r="F560" s="9"/>
      <c r="G560" s="11"/>
      <c r="H560" s="9"/>
      <c r="I560" s="22"/>
      <c r="J560" s="24"/>
      <c r="K56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60" s="22"/>
    </row>
    <row r="561" spans="1:12" x14ac:dyDescent="0.25">
      <c r="A561" s="13"/>
      <c r="B561" s="7" t="str">
        <f>IF(Tabela22[[#This Row],[Data]]="","",PROPER(TEXT(Tabela22[[#This Row],[Data]],"mmm")))</f>
        <v/>
      </c>
      <c r="C561" s="1" t="str">
        <f>IF(Tabela22[[#This Row],[Data]]="","",PROPER(TEXT(Tabela22[[#This Row],[Data]],"ddd")))</f>
        <v/>
      </c>
      <c r="D561" s="9"/>
      <c r="E561" s="9"/>
      <c r="F561" s="9"/>
      <c r="G561" s="11"/>
      <c r="H561" s="9"/>
      <c r="I561" s="22"/>
      <c r="J561" s="24"/>
      <c r="K56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61" s="22"/>
    </row>
    <row r="562" spans="1:12" x14ac:dyDescent="0.25">
      <c r="A562" s="13"/>
      <c r="B562" s="7" t="str">
        <f>IF(Tabela22[[#This Row],[Data]]="","",PROPER(TEXT(Tabela22[[#This Row],[Data]],"mmm")))</f>
        <v/>
      </c>
      <c r="C562" s="1" t="str">
        <f>IF(Tabela22[[#This Row],[Data]]="","",PROPER(TEXT(Tabela22[[#This Row],[Data]],"ddd")))</f>
        <v/>
      </c>
      <c r="D562" s="9"/>
      <c r="E562" s="9"/>
      <c r="F562" s="9"/>
      <c r="G562" s="11"/>
      <c r="H562" s="9"/>
      <c r="I562" s="22"/>
      <c r="J562" s="24"/>
      <c r="K56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62" s="22"/>
    </row>
    <row r="563" spans="1:12" x14ac:dyDescent="0.25">
      <c r="A563" s="13"/>
      <c r="B563" s="7" t="str">
        <f>IF(Tabela22[[#This Row],[Data]]="","",PROPER(TEXT(Tabela22[[#This Row],[Data]],"mmm")))</f>
        <v/>
      </c>
      <c r="C563" s="1" t="str">
        <f>IF(Tabela22[[#This Row],[Data]]="","",PROPER(TEXT(Tabela22[[#This Row],[Data]],"ddd")))</f>
        <v/>
      </c>
      <c r="D563" s="9"/>
      <c r="E563" s="9"/>
      <c r="F563" s="9"/>
      <c r="G563" s="11"/>
      <c r="H563" s="9"/>
      <c r="I563" s="22"/>
      <c r="J563" s="24"/>
      <c r="K56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63" s="22"/>
    </row>
    <row r="564" spans="1:12" x14ac:dyDescent="0.25">
      <c r="A564" s="13"/>
      <c r="B564" s="7" t="str">
        <f>IF(Tabela22[[#This Row],[Data]]="","",PROPER(TEXT(Tabela22[[#This Row],[Data]],"mmm")))</f>
        <v/>
      </c>
      <c r="C564" s="1" t="str">
        <f>IF(Tabela22[[#This Row],[Data]]="","",PROPER(TEXT(Tabela22[[#This Row],[Data]],"ddd")))</f>
        <v/>
      </c>
      <c r="D564" s="9"/>
      <c r="E564" s="9"/>
      <c r="F564" s="9"/>
      <c r="G564" s="11"/>
      <c r="H564" s="9"/>
      <c r="I564" s="22"/>
      <c r="J564" s="24"/>
      <c r="K56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64" s="22"/>
    </row>
    <row r="565" spans="1:12" x14ac:dyDescent="0.25">
      <c r="A565" s="13"/>
      <c r="B565" s="7" t="str">
        <f>IF(Tabela22[[#This Row],[Data]]="","",PROPER(TEXT(Tabela22[[#This Row],[Data]],"mmm")))</f>
        <v/>
      </c>
      <c r="C565" s="1" t="str">
        <f>IF(Tabela22[[#This Row],[Data]]="","",PROPER(TEXT(Tabela22[[#This Row],[Data]],"ddd")))</f>
        <v/>
      </c>
      <c r="D565" s="9"/>
      <c r="E565" s="9"/>
      <c r="F565" s="9"/>
      <c r="G565" s="11"/>
      <c r="H565" s="9"/>
      <c r="I565" s="22"/>
      <c r="J565" s="24"/>
      <c r="K56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65" s="22"/>
    </row>
    <row r="566" spans="1:12" x14ac:dyDescent="0.25">
      <c r="A566" s="13"/>
      <c r="B566" s="7" t="str">
        <f>IF(Tabela22[[#This Row],[Data]]="","",PROPER(TEXT(Tabela22[[#This Row],[Data]],"mmm")))</f>
        <v/>
      </c>
      <c r="C566" s="1" t="str">
        <f>IF(Tabela22[[#This Row],[Data]]="","",PROPER(TEXT(Tabela22[[#This Row],[Data]],"ddd")))</f>
        <v/>
      </c>
      <c r="D566" s="9"/>
      <c r="E566" s="9"/>
      <c r="F566" s="9"/>
      <c r="G566" s="11"/>
      <c r="H566" s="9"/>
      <c r="I566" s="22"/>
      <c r="J566" s="24"/>
      <c r="K56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66" s="22"/>
    </row>
    <row r="567" spans="1:12" x14ac:dyDescent="0.25">
      <c r="A567" s="13"/>
      <c r="B567" s="7" t="str">
        <f>IF(Tabela22[[#This Row],[Data]]="","",PROPER(TEXT(Tabela22[[#This Row],[Data]],"mmm")))</f>
        <v/>
      </c>
      <c r="C567" s="1" t="str">
        <f>IF(Tabela22[[#This Row],[Data]]="","",PROPER(TEXT(Tabela22[[#This Row],[Data]],"ddd")))</f>
        <v/>
      </c>
      <c r="D567" s="9"/>
      <c r="E567" s="9"/>
      <c r="F567" s="9"/>
      <c r="G567" s="11"/>
      <c r="H567" s="9"/>
      <c r="I567" s="22"/>
      <c r="J567" s="24"/>
      <c r="K56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67" s="22"/>
    </row>
    <row r="568" spans="1:12" x14ac:dyDescent="0.25">
      <c r="A568" s="13"/>
      <c r="B568" s="7" t="str">
        <f>IF(Tabela22[[#This Row],[Data]]="","",PROPER(TEXT(Tabela22[[#This Row],[Data]],"mmm")))</f>
        <v/>
      </c>
      <c r="C568" s="1" t="str">
        <f>IF(Tabela22[[#This Row],[Data]]="","",PROPER(TEXT(Tabela22[[#This Row],[Data]],"ddd")))</f>
        <v/>
      </c>
      <c r="D568" s="9"/>
      <c r="E568" s="9"/>
      <c r="F568" s="9"/>
      <c r="G568" s="11"/>
      <c r="H568" s="9"/>
      <c r="I568" s="22"/>
      <c r="J568" s="24"/>
      <c r="K56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68" s="22"/>
    </row>
    <row r="569" spans="1:12" x14ac:dyDescent="0.25">
      <c r="A569" s="13"/>
      <c r="B569" s="7" t="str">
        <f>IF(Tabela22[[#This Row],[Data]]="","",PROPER(TEXT(Tabela22[[#This Row],[Data]],"mmm")))</f>
        <v/>
      </c>
      <c r="C569" s="1" t="str">
        <f>IF(Tabela22[[#This Row],[Data]]="","",PROPER(TEXT(Tabela22[[#This Row],[Data]],"ddd")))</f>
        <v/>
      </c>
      <c r="D569" s="9"/>
      <c r="E569" s="9"/>
      <c r="F569" s="9"/>
      <c r="G569" s="11"/>
      <c r="H569" s="9"/>
      <c r="I569" s="22"/>
      <c r="J569" s="24"/>
      <c r="K56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69" s="22"/>
    </row>
    <row r="570" spans="1:12" x14ac:dyDescent="0.25">
      <c r="A570" s="13"/>
      <c r="B570" s="7" t="str">
        <f>IF(Tabela22[[#This Row],[Data]]="","",PROPER(TEXT(Tabela22[[#This Row],[Data]],"mmm")))</f>
        <v/>
      </c>
      <c r="C570" s="1" t="str">
        <f>IF(Tabela22[[#This Row],[Data]]="","",PROPER(TEXT(Tabela22[[#This Row],[Data]],"ddd")))</f>
        <v/>
      </c>
      <c r="D570" s="9"/>
      <c r="E570" s="9"/>
      <c r="F570" s="9"/>
      <c r="G570" s="11"/>
      <c r="H570" s="9"/>
      <c r="I570" s="22"/>
      <c r="J570" s="24"/>
      <c r="K57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70" s="22"/>
    </row>
    <row r="571" spans="1:12" x14ac:dyDescent="0.25">
      <c r="A571" s="13"/>
      <c r="B571" s="7" t="str">
        <f>IF(Tabela22[[#This Row],[Data]]="","",PROPER(TEXT(Tabela22[[#This Row],[Data]],"mmm")))</f>
        <v/>
      </c>
      <c r="C571" s="1" t="str">
        <f>IF(Tabela22[[#This Row],[Data]]="","",PROPER(TEXT(Tabela22[[#This Row],[Data]],"ddd")))</f>
        <v/>
      </c>
      <c r="D571" s="9"/>
      <c r="E571" s="9"/>
      <c r="F571" s="9"/>
      <c r="G571" s="11"/>
      <c r="H571" s="9"/>
      <c r="I571" s="22"/>
      <c r="J571" s="24"/>
      <c r="K57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71" s="22"/>
    </row>
    <row r="572" spans="1:12" x14ac:dyDescent="0.25">
      <c r="A572" s="13"/>
      <c r="B572" s="7" t="str">
        <f>IF(Tabela22[[#This Row],[Data]]="","",PROPER(TEXT(Tabela22[[#This Row],[Data]],"mmm")))</f>
        <v/>
      </c>
      <c r="C572" s="1" t="str">
        <f>IF(Tabela22[[#This Row],[Data]]="","",PROPER(TEXT(Tabela22[[#This Row],[Data]],"ddd")))</f>
        <v/>
      </c>
      <c r="D572" s="9"/>
      <c r="E572" s="9"/>
      <c r="F572" s="9"/>
      <c r="G572" s="11"/>
      <c r="H572" s="9"/>
      <c r="I572" s="22"/>
      <c r="J572" s="24"/>
      <c r="K57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72" s="22"/>
    </row>
    <row r="573" spans="1:12" x14ac:dyDescent="0.25">
      <c r="A573" s="13"/>
      <c r="B573" s="7" t="str">
        <f>IF(Tabela22[[#This Row],[Data]]="","",PROPER(TEXT(Tabela22[[#This Row],[Data]],"mmm")))</f>
        <v/>
      </c>
      <c r="C573" s="1" t="str">
        <f>IF(Tabela22[[#This Row],[Data]]="","",PROPER(TEXT(Tabela22[[#This Row],[Data]],"ddd")))</f>
        <v/>
      </c>
      <c r="D573" s="9"/>
      <c r="E573" s="9"/>
      <c r="F573" s="9"/>
      <c r="G573" s="11"/>
      <c r="H573" s="9"/>
      <c r="I573" s="22"/>
      <c r="J573" s="24"/>
      <c r="K57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73" s="22"/>
    </row>
    <row r="574" spans="1:12" x14ac:dyDescent="0.25">
      <c r="A574" s="13"/>
      <c r="B574" s="7" t="str">
        <f>IF(Tabela22[[#This Row],[Data]]="","",PROPER(TEXT(Tabela22[[#This Row],[Data]],"mmm")))</f>
        <v/>
      </c>
      <c r="C574" s="1" t="str">
        <f>IF(Tabela22[[#This Row],[Data]]="","",PROPER(TEXT(Tabela22[[#This Row],[Data]],"ddd")))</f>
        <v/>
      </c>
      <c r="D574" s="9"/>
      <c r="E574" s="9"/>
      <c r="F574" s="9"/>
      <c r="G574" s="11"/>
      <c r="H574" s="9"/>
      <c r="I574" s="22"/>
      <c r="J574" s="24"/>
      <c r="K57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74" s="22"/>
    </row>
    <row r="575" spans="1:12" x14ac:dyDescent="0.25">
      <c r="A575" s="13"/>
      <c r="B575" s="7" t="str">
        <f>IF(Tabela22[[#This Row],[Data]]="","",PROPER(TEXT(Tabela22[[#This Row],[Data]],"mmm")))</f>
        <v/>
      </c>
      <c r="C575" s="1" t="str">
        <f>IF(Tabela22[[#This Row],[Data]]="","",PROPER(TEXT(Tabela22[[#This Row],[Data]],"ddd")))</f>
        <v/>
      </c>
      <c r="D575" s="9"/>
      <c r="E575" s="9"/>
      <c r="F575" s="9"/>
      <c r="G575" s="11"/>
      <c r="H575" s="9"/>
      <c r="I575" s="22"/>
      <c r="J575" s="24"/>
      <c r="K57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75" s="22"/>
    </row>
    <row r="576" spans="1:12" x14ac:dyDescent="0.25">
      <c r="A576" s="13"/>
      <c r="B576" s="7" t="str">
        <f>IF(Tabela22[[#This Row],[Data]]="","",PROPER(TEXT(Tabela22[[#This Row],[Data]],"mmm")))</f>
        <v/>
      </c>
      <c r="C576" s="1" t="str">
        <f>IF(Tabela22[[#This Row],[Data]]="","",PROPER(TEXT(Tabela22[[#This Row],[Data]],"ddd")))</f>
        <v/>
      </c>
      <c r="D576" s="9"/>
      <c r="E576" s="9"/>
      <c r="F576" s="9"/>
      <c r="G576" s="11"/>
      <c r="H576" s="9"/>
      <c r="I576" s="22"/>
      <c r="J576" s="24"/>
      <c r="K57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76" s="22"/>
    </row>
    <row r="577" spans="1:12" x14ac:dyDescent="0.25">
      <c r="A577" s="13"/>
      <c r="B577" s="7" t="str">
        <f>IF(Tabela22[[#This Row],[Data]]="","",PROPER(TEXT(Tabela22[[#This Row],[Data]],"mmm")))</f>
        <v/>
      </c>
      <c r="C577" s="1" t="str">
        <f>IF(Tabela22[[#This Row],[Data]]="","",PROPER(TEXT(Tabela22[[#This Row],[Data]],"ddd")))</f>
        <v/>
      </c>
      <c r="D577" s="9"/>
      <c r="E577" s="9"/>
      <c r="F577" s="9"/>
      <c r="G577" s="11"/>
      <c r="H577" s="9"/>
      <c r="I577" s="22"/>
      <c r="J577" s="24"/>
      <c r="K57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77" s="22"/>
    </row>
    <row r="578" spans="1:12" x14ac:dyDescent="0.25">
      <c r="A578" s="13"/>
      <c r="B578" s="7" t="str">
        <f>IF(Tabela22[[#This Row],[Data]]="","",PROPER(TEXT(Tabela22[[#This Row],[Data]],"mmm")))</f>
        <v/>
      </c>
      <c r="C578" s="1" t="str">
        <f>IF(Tabela22[[#This Row],[Data]]="","",PROPER(TEXT(Tabela22[[#This Row],[Data]],"ddd")))</f>
        <v/>
      </c>
      <c r="D578" s="9"/>
      <c r="E578" s="9"/>
      <c r="F578" s="9"/>
      <c r="G578" s="11"/>
      <c r="H578" s="9"/>
      <c r="I578" s="22"/>
      <c r="J578" s="24"/>
      <c r="K57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78" s="22"/>
    </row>
    <row r="579" spans="1:12" x14ac:dyDescent="0.25">
      <c r="A579" s="13"/>
      <c r="B579" s="7" t="str">
        <f>IF(Tabela22[[#This Row],[Data]]="","",PROPER(TEXT(Tabela22[[#This Row],[Data]],"mmm")))</f>
        <v/>
      </c>
      <c r="C579" s="1" t="str">
        <f>IF(Tabela22[[#This Row],[Data]]="","",PROPER(TEXT(Tabela22[[#This Row],[Data]],"ddd")))</f>
        <v/>
      </c>
      <c r="D579" s="9"/>
      <c r="E579" s="9"/>
      <c r="F579" s="9"/>
      <c r="G579" s="11"/>
      <c r="H579" s="9"/>
      <c r="I579" s="22"/>
      <c r="J579" s="24"/>
      <c r="K57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79" s="22"/>
    </row>
    <row r="580" spans="1:12" x14ac:dyDescent="0.25">
      <c r="A580" s="13"/>
      <c r="B580" s="7" t="str">
        <f>IF(Tabela22[[#This Row],[Data]]="","",PROPER(TEXT(Tabela22[[#This Row],[Data]],"mmm")))</f>
        <v/>
      </c>
      <c r="C580" s="1" t="str">
        <f>IF(Tabela22[[#This Row],[Data]]="","",PROPER(TEXT(Tabela22[[#This Row],[Data]],"ddd")))</f>
        <v/>
      </c>
      <c r="D580" s="9"/>
      <c r="E580" s="9"/>
      <c r="F580" s="9"/>
      <c r="G580" s="11"/>
      <c r="H580" s="9"/>
      <c r="I580" s="22"/>
      <c r="J580" s="24"/>
      <c r="K58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80" s="22"/>
    </row>
    <row r="581" spans="1:12" x14ac:dyDescent="0.25">
      <c r="A581" s="13"/>
      <c r="B581" s="7" t="str">
        <f>IF(Tabela22[[#This Row],[Data]]="","",PROPER(TEXT(Tabela22[[#This Row],[Data]],"mmm")))</f>
        <v/>
      </c>
      <c r="C581" s="1" t="str">
        <f>IF(Tabela22[[#This Row],[Data]]="","",PROPER(TEXT(Tabela22[[#This Row],[Data]],"ddd")))</f>
        <v/>
      </c>
      <c r="D581" s="9"/>
      <c r="E581" s="9"/>
      <c r="F581" s="9"/>
      <c r="G581" s="11"/>
      <c r="H581" s="9"/>
      <c r="I581" s="22"/>
      <c r="J581" s="24"/>
      <c r="K58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81" s="22"/>
    </row>
    <row r="582" spans="1:12" x14ac:dyDescent="0.25">
      <c r="A582" s="13"/>
      <c r="B582" s="7" t="str">
        <f>IF(Tabela22[[#This Row],[Data]]="","",PROPER(TEXT(Tabela22[[#This Row],[Data]],"mmm")))</f>
        <v/>
      </c>
      <c r="C582" s="1" t="str">
        <f>IF(Tabela22[[#This Row],[Data]]="","",PROPER(TEXT(Tabela22[[#This Row],[Data]],"ddd")))</f>
        <v/>
      </c>
      <c r="D582" s="9"/>
      <c r="E582" s="9"/>
      <c r="F582" s="9"/>
      <c r="G582" s="11"/>
      <c r="H582" s="9"/>
      <c r="I582" s="22"/>
      <c r="J582" s="24"/>
      <c r="K58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82" s="22"/>
    </row>
    <row r="583" spans="1:12" x14ac:dyDescent="0.25">
      <c r="A583" s="13"/>
      <c r="B583" s="7" t="str">
        <f>IF(Tabela22[[#This Row],[Data]]="","",PROPER(TEXT(Tabela22[[#This Row],[Data]],"mmm")))</f>
        <v/>
      </c>
      <c r="C583" s="1" t="str">
        <f>IF(Tabela22[[#This Row],[Data]]="","",PROPER(TEXT(Tabela22[[#This Row],[Data]],"ddd")))</f>
        <v/>
      </c>
      <c r="D583" s="9"/>
      <c r="E583" s="9"/>
      <c r="F583" s="9"/>
      <c r="G583" s="11"/>
      <c r="H583" s="9"/>
      <c r="I583" s="22"/>
      <c r="J583" s="24"/>
      <c r="K58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83" s="22"/>
    </row>
    <row r="584" spans="1:12" x14ac:dyDescent="0.25">
      <c r="A584" s="13"/>
      <c r="B584" s="7" t="str">
        <f>IF(Tabela22[[#This Row],[Data]]="","",PROPER(TEXT(Tabela22[[#This Row],[Data]],"mmm")))</f>
        <v/>
      </c>
      <c r="C584" s="1" t="str">
        <f>IF(Tabela22[[#This Row],[Data]]="","",PROPER(TEXT(Tabela22[[#This Row],[Data]],"ddd")))</f>
        <v/>
      </c>
      <c r="D584" s="9"/>
      <c r="E584" s="9"/>
      <c r="F584" s="9"/>
      <c r="G584" s="11"/>
      <c r="H584" s="9"/>
      <c r="I584" s="22"/>
      <c r="J584" s="24"/>
      <c r="K58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84" s="22"/>
    </row>
    <row r="585" spans="1:12" x14ac:dyDescent="0.25">
      <c r="A585" s="13"/>
      <c r="B585" s="7" t="str">
        <f>IF(Tabela22[[#This Row],[Data]]="","",PROPER(TEXT(Tabela22[[#This Row],[Data]],"mmm")))</f>
        <v/>
      </c>
      <c r="C585" s="1" t="str">
        <f>IF(Tabela22[[#This Row],[Data]]="","",PROPER(TEXT(Tabela22[[#This Row],[Data]],"ddd")))</f>
        <v/>
      </c>
      <c r="D585" s="9"/>
      <c r="E585" s="9"/>
      <c r="F585" s="9"/>
      <c r="G585" s="11"/>
      <c r="H585" s="9"/>
      <c r="I585" s="22"/>
      <c r="J585" s="24"/>
      <c r="K58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85" s="22"/>
    </row>
    <row r="586" spans="1:12" x14ac:dyDescent="0.25">
      <c r="A586" s="13"/>
      <c r="B586" s="7" t="str">
        <f>IF(Tabela22[[#This Row],[Data]]="","",PROPER(TEXT(Tabela22[[#This Row],[Data]],"mmm")))</f>
        <v/>
      </c>
      <c r="C586" s="1" t="str">
        <f>IF(Tabela22[[#This Row],[Data]]="","",PROPER(TEXT(Tabela22[[#This Row],[Data]],"ddd")))</f>
        <v/>
      </c>
      <c r="D586" s="9"/>
      <c r="E586" s="9"/>
      <c r="F586" s="9"/>
      <c r="G586" s="11"/>
      <c r="H586" s="9"/>
      <c r="I586" s="22"/>
      <c r="J586" s="24"/>
      <c r="K58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86" s="22"/>
    </row>
    <row r="587" spans="1:12" x14ac:dyDescent="0.25">
      <c r="A587" s="13"/>
      <c r="B587" s="7" t="str">
        <f>IF(Tabela22[[#This Row],[Data]]="","",PROPER(TEXT(Tabela22[[#This Row],[Data]],"mmm")))</f>
        <v/>
      </c>
      <c r="C587" s="1" t="str">
        <f>IF(Tabela22[[#This Row],[Data]]="","",PROPER(TEXT(Tabela22[[#This Row],[Data]],"ddd")))</f>
        <v/>
      </c>
      <c r="D587" s="9"/>
      <c r="E587" s="9"/>
      <c r="F587" s="9"/>
      <c r="G587" s="11"/>
      <c r="H587" s="9"/>
      <c r="I587" s="22"/>
      <c r="J587" s="24"/>
      <c r="K58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87" s="22"/>
    </row>
    <row r="588" spans="1:12" x14ac:dyDescent="0.25">
      <c r="A588" s="13"/>
      <c r="B588" s="7" t="str">
        <f>IF(Tabela22[[#This Row],[Data]]="","",PROPER(TEXT(Tabela22[[#This Row],[Data]],"mmm")))</f>
        <v/>
      </c>
      <c r="C588" s="1" t="str">
        <f>IF(Tabela22[[#This Row],[Data]]="","",PROPER(TEXT(Tabela22[[#This Row],[Data]],"ddd")))</f>
        <v/>
      </c>
      <c r="D588" s="9"/>
      <c r="E588" s="9"/>
      <c r="F588" s="9"/>
      <c r="G588" s="11"/>
      <c r="H588" s="9"/>
      <c r="I588" s="22"/>
      <c r="J588" s="24"/>
      <c r="K58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88" s="22"/>
    </row>
    <row r="589" spans="1:12" x14ac:dyDescent="0.25">
      <c r="A589" s="13"/>
      <c r="B589" s="7" t="str">
        <f>IF(Tabela22[[#This Row],[Data]]="","",PROPER(TEXT(Tabela22[[#This Row],[Data]],"mmm")))</f>
        <v/>
      </c>
      <c r="C589" s="1" t="str">
        <f>IF(Tabela22[[#This Row],[Data]]="","",PROPER(TEXT(Tabela22[[#This Row],[Data]],"ddd")))</f>
        <v/>
      </c>
      <c r="D589" s="9"/>
      <c r="E589" s="9"/>
      <c r="F589" s="9"/>
      <c r="G589" s="11"/>
      <c r="H589" s="9"/>
      <c r="I589" s="22"/>
      <c r="J589" s="24"/>
      <c r="K58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89" s="22"/>
    </row>
    <row r="590" spans="1:12" x14ac:dyDescent="0.25">
      <c r="A590" s="13"/>
      <c r="B590" s="7" t="str">
        <f>IF(Tabela22[[#This Row],[Data]]="","",PROPER(TEXT(Tabela22[[#This Row],[Data]],"mmm")))</f>
        <v/>
      </c>
      <c r="C590" s="1" t="str">
        <f>IF(Tabela22[[#This Row],[Data]]="","",PROPER(TEXT(Tabela22[[#This Row],[Data]],"ddd")))</f>
        <v/>
      </c>
      <c r="D590" s="9"/>
      <c r="E590" s="9"/>
      <c r="F590" s="9"/>
      <c r="G590" s="11"/>
      <c r="H590" s="9"/>
      <c r="I590" s="22"/>
      <c r="J590" s="24"/>
      <c r="K59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90" s="22"/>
    </row>
    <row r="591" spans="1:12" x14ac:dyDescent="0.25">
      <c r="A591" s="13"/>
      <c r="B591" s="7" t="str">
        <f>IF(Tabela22[[#This Row],[Data]]="","",PROPER(TEXT(Tabela22[[#This Row],[Data]],"mmm")))</f>
        <v/>
      </c>
      <c r="C591" s="1" t="str">
        <f>IF(Tabela22[[#This Row],[Data]]="","",PROPER(TEXT(Tabela22[[#This Row],[Data]],"ddd")))</f>
        <v/>
      </c>
      <c r="D591" s="9"/>
      <c r="E591" s="9"/>
      <c r="F591" s="9"/>
      <c r="G591" s="11"/>
      <c r="H591" s="9"/>
      <c r="I591" s="22"/>
      <c r="J591" s="24"/>
      <c r="K59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91" s="22"/>
    </row>
    <row r="592" spans="1:12" x14ac:dyDescent="0.25">
      <c r="A592" s="13"/>
      <c r="B592" s="7" t="str">
        <f>IF(Tabela22[[#This Row],[Data]]="","",PROPER(TEXT(Tabela22[[#This Row],[Data]],"mmm")))</f>
        <v/>
      </c>
      <c r="C592" s="1" t="str">
        <f>IF(Tabela22[[#This Row],[Data]]="","",PROPER(TEXT(Tabela22[[#This Row],[Data]],"ddd")))</f>
        <v/>
      </c>
      <c r="D592" s="9"/>
      <c r="E592" s="9"/>
      <c r="F592" s="9"/>
      <c r="G592" s="11"/>
      <c r="H592" s="9"/>
      <c r="I592" s="22"/>
      <c r="J592" s="24"/>
      <c r="K59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92" s="22"/>
    </row>
    <row r="593" spans="1:12" x14ac:dyDescent="0.25">
      <c r="A593" s="13"/>
      <c r="B593" s="7" t="str">
        <f>IF(Tabela22[[#This Row],[Data]]="","",PROPER(TEXT(Tabela22[[#This Row],[Data]],"mmm")))</f>
        <v/>
      </c>
      <c r="C593" s="1" t="str">
        <f>IF(Tabela22[[#This Row],[Data]]="","",PROPER(TEXT(Tabela22[[#This Row],[Data]],"ddd")))</f>
        <v/>
      </c>
      <c r="D593" s="9"/>
      <c r="E593" s="9"/>
      <c r="F593" s="9"/>
      <c r="G593" s="11"/>
      <c r="H593" s="9"/>
      <c r="I593" s="22"/>
      <c r="J593" s="24"/>
      <c r="K59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93" s="22"/>
    </row>
    <row r="594" spans="1:12" x14ac:dyDescent="0.25">
      <c r="A594" s="13"/>
      <c r="B594" s="7" t="str">
        <f>IF(Tabela22[[#This Row],[Data]]="","",PROPER(TEXT(Tabela22[[#This Row],[Data]],"mmm")))</f>
        <v/>
      </c>
      <c r="C594" s="1" t="str">
        <f>IF(Tabela22[[#This Row],[Data]]="","",PROPER(TEXT(Tabela22[[#This Row],[Data]],"ddd")))</f>
        <v/>
      </c>
      <c r="D594" s="9"/>
      <c r="E594" s="9"/>
      <c r="F594" s="9"/>
      <c r="G594" s="11"/>
      <c r="H594" s="9"/>
      <c r="I594" s="22"/>
      <c r="J594" s="24"/>
      <c r="K59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94" s="22"/>
    </row>
    <row r="595" spans="1:12" x14ac:dyDescent="0.25">
      <c r="A595" s="13"/>
      <c r="B595" s="7" t="str">
        <f>IF(Tabela22[[#This Row],[Data]]="","",PROPER(TEXT(Tabela22[[#This Row],[Data]],"mmm")))</f>
        <v/>
      </c>
      <c r="C595" s="1" t="str">
        <f>IF(Tabela22[[#This Row],[Data]]="","",PROPER(TEXT(Tabela22[[#This Row],[Data]],"ddd")))</f>
        <v/>
      </c>
      <c r="D595" s="9"/>
      <c r="E595" s="9"/>
      <c r="F595" s="9"/>
      <c r="G595" s="11"/>
      <c r="H595" s="9"/>
      <c r="I595" s="22"/>
      <c r="J595" s="24"/>
      <c r="K59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95" s="22"/>
    </row>
    <row r="596" spans="1:12" x14ac:dyDescent="0.25">
      <c r="A596" s="13"/>
      <c r="B596" s="7" t="str">
        <f>IF(Tabela22[[#This Row],[Data]]="","",PROPER(TEXT(Tabela22[[#This Row],[Data]],"mmm")))</f>
        <v/>
      </c>
      <c r="C596" s="1" t="str">
        <f>IF(Tabela22[[#This Row],[Data]]="","",PROPER(TEXT(Tabela22[[#This Row],[Data]],"ddd")))</f>
        <v/>
      </c>
      <c r="D596" s="9"/>
      <c r="E596" s="9"/>
      <c r="F596" s="9"/>
      <c r="G596" s="11"/>
      <c r="H596" s="9"/>
      <c r="I596" s="22"/>
      <c r="J596" s="24"/>
      <c r="K59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96" s="22"/>
    </row>
    <row r="597" spans="1:12" x14ac:dyDescent="0.25">
      <c r="A597" s="13"/>
      <c r="B597" s="7" t="str">
        <f>IF(Tabela22[[#This Row],[Data]]="","",PROPER(TEXT(Tabela22[[#This Row],[Data]],"mmm")))</f>
        <v/>
      </c>
      <c r="C597" s="1" t="str">
        <f>IF(Tabela22[[#This Row],[Data]]="","",PROPER(TEXT(Tabela22[[#This Row],[Data]],"ddd")))</f>
        <v/>
      </c>
      <c r="D597" s="9"/>
      <c r="E597" s="9"/>
      <c r="F597" s="9"/>
      <c r="G597" s="11"/>
      <c r="H597" s="9"/>
      <c r="I597" s="22"/>
      <c r="J597" s="24"/>
      <c r="K59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97" s="22"/>
    </row>
    <row r="598" spans="1:12" x14ac:dyDescent="0.25">
      <c r="A598" s="13"/>
      <c r="B598" s="7" t="str">
        <f>IF(Tabela22[[#This Row],[Data]]="","",PROPER(TEXT(Tabela22[[#This Row],[Data]],"mmm")))</f>
        <v/>
      </c>
      <c r="C598" s="1" t="str">
        <f>IF(Tabela22[[#This Row],[Data]]="","",PROPER(TEXT(Tabela22[[#This Row],[Data]],"ddd")))</f>
        <v/>
      </c>
      <c r="D598" s="9"/>
      <c r="E598" s="9"/>
      <c r="F598" s="9"/>
      <c r="G598" s="11"/>
      <c r="H598" s="9"/>
      <c r="I598" s="22"/>
      <c r="J598" s="24"/>
      <c r="K59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98" s="22"/>
    </row>
    <row r="599" spans="1:12" x14ac:dyDescent="0.25">
      <c r="A599" s="13"/>
      <c r="B599" s="7" t="str">
        <f>IF(Tabela22[[#This Row],[Data]]="","",PROPER(TEXT(Tabela22[[#This Row],[Data]],"mmm")))</f>
        <v/>
      </c>
      <c r="C599" s="1" t="str">
        <f>IF(Tabela22[[#This Row],[Data]]="","",PROPER(TEXT(Tabela22[[#This Row],[Data]],"ddd")))</f>
        <v/>
      </c>
      <c r="D599" s="9"/>
      <c r="E599" s="9"/>
      <c r="F599" s="9"/>
      <c r="G599" s="11"/>
      <c r="H599" s="9"/>
      <c r="I599" s="22"/>
      <c r="J599" s="24"/>
      <c r="K599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599" s="22"/>
    </row>
    <row r="600" spans="1:12" x14ac:dyDescent="0.25">
      <c r="A600" s="13"/>
      <c r="B600" s="7" t="str">
        <f>IF(Tabela22[[#This Row],[Data]]="","",PROPER(TEXT(Tabela22[[#This Row],[Data]],"mmm")))</f>
        <v/>
      </c>
      <c r="C600" s="1" t="str">
        <f>IF(Tabela22[[#This Row],[Data]]="","",PROPER(TEXT(Tabela22[[#This Row],[Data]],"ddd")))</f>
        <v/>
      </c>
      <c r="D600" s="9"/>
      <c r="E600" s="9"/>
      <c r="F600" s="9"/>
      <c r="G600" s="11"/>
      <c r="H600" s="9"/>
      <c r="I600" s="22"/>
      <c r="J600" s="24"/>
      <c r="K600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600" s="22"/>
    </row>
    <row r="601" spans="1:12" x14ac:dyDescent="0.25">
      <c r="A601" s="13"/>
      <c r="B601" s="7" t="str">
        <f>IF(Tabela22[[#This Row],[Data]]="","",PROPER(TEXT(Tabela22[[#This Row],[Data]],"mmm")))</f>
        <v/>
      </c>
      <c r="C601" s="1" t="str">
        <f>IF(Tabela22[[#This Row],[Data]]="","",PROPER(TEXT(Tabela22[[#This Row],[Data]],"ddd")))</f>
        <v/>
      </c>
      <c r="D601" s="9"/>
      <c r="E601" s="9"/>
      <c r="F601" s="9"/>
      <c r="G601" s="11"/>
      <c r="H601" s="9"/>
      <c r="I601" s="22"/>
      <c r="J601" s="24"/>
      <c r="K601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601" s="22"/>
    </row>
    <row r="602" spans="1:12" x14ac:dyDescent="0.25">
      <c r="A602" s="13"/>
      <c r="B602" s="7" t="str">
        <f>IF(Tabela22[[#This Row],[Data]]="","",PROPER(TEXT(Tabela22[[#This Row],[Data]],"mmm")))</f>
        <v/>
      </c>
      <c r="C602" s="1" t="str">
        <f>IF(Tabela22[[#This Row],[Data]]="","",PROPER(TEXT(Tabela22[[#This Row],[Data]],"ddd")))</f>
        <v/>
      </c>
      <c r="D602" s="9"/>
      <c r="E602" s="9"/>
      <c r="F602" s="9"/>
      <c r="G602" s="11"/>
      <c r="H602" s="9"/>
      <c r="I602" s="22"/>
      <c r="J602" s="24"/>
      <c r="K602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602" s="22"/>
    </row>
    <row r="603" spans="1:12" x14ac:dyDescent="0.25">
      <c r="A603" s="13"/>
      <c r="B603" s="7" t="str">
        <f>IF(Tabela22[[#This Row],[Data]]="","",PROPER(TEXT(Tabela22[[#This Row],[Data]],"mmm")))</f>
        <v/>
      </c>
      <c r="C603" s="1" t="str">
        <f>IF(Tabela22[[#This Row],[Data]]="","",PROPER(TEXT(Tabela22[[#This Row],[Data]],"ddd")))</f>
        <v/>
      </c>
      <c r="D603" s="9"/>
      <c r="E603" s="9"/>
      <c r="F603" s="9"/>
      <c r="G603" s="11"/>
      <c r="H603" s="9"/>
      <c r="I603" s="22"/>
      <c r="J603" s="24"/>
      <c r="K603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603" s="22"/>
    </row>
    <row r="604" spans="1:12" x14ac:dyDescent="0.25">
      <c r="A604" s="13"/>
      <c r="B604" s="7" t="str">
        <f>IF(Tabela22[[#This Row],[Data]]="","",PROPER(TEXT(Tabela22[[#This Row],[Data]],"mmm")))</f>
        <v/>
      </c>
      <c r="C604" s="1" t="str">
        <f>IF(Tabela22[[#This Row],[Data]]="","",PROPER(TEXT(Tabela22[[#This Row],[Data]],"ddd")))</f>
        <v/>
      </c>
      <c r="D604" s="9"/>
      <c r="E604" s="9"/>
      <c r="F604" s="9"/>
      <c r="G604" s="11"/>
      <c r="H604" s="9"/>
      <c r="I604" s="22"/>
      <c r="J604" s="24"/>
      <c r="K604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604" s="22"/>
    </row>
    <row r="605" spans="1:12" x14ac:dyDescent="0.25">
      <c r="A605" s="13"/>
      <c r="B605" s="7" t="str">
        <f>IF(Tabela22[[#This Row],[Data]]="","",PROPER(TEXT(Tabela22[[#This Row],[Data]],"mmm")))</f>
        <v/>
      </c>
      <c r="C605" s="1" t="str">
        <f>IF(Tabela22[[#This Row],[Data]]="","",PROPER(TEXT(Tabela22[[#This Row],[Data]],"ddd")))</f>
        <v/>
      </c>
      <c r="D605" s="9"/>
      <c r="E605" s="9"/>
      <c r="F605" s="9"/>
      <c r="G605" s="11"/>
      <c r="H605" s="9"/>
      <c r="I605" s="22"/>
      <c r="J605" s="24"/>
      <c r="K605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605" s="22"/>
    </row>
    <row r="606" spans="1:12" x14ac:dyDescent="0.25">
      <c r="A606" s="13"/>
      <c r="B606" s="7" t="str">
        <f>IF(Tabela22[[#This Row],[Data]]="","",PROPER(TEXT(Tabela22[[#This Row],[Data]],"mmm")))</f>
        <v/>
      </c>
      <c r="C606" s="1" t="str">
        <f>IF(Tabela22[[#This Row],[Data]]="","",PROPER(TEXT(Tabela22[[#This Row],[Data]],"ddd")))</f>
        <v/>
      </c>
      <c r="D606" s="9"/>
      <c r="E606" s="9"/>
      <c r="F606" s="9"/>
      <c r="G606" s="11"/>
      <c r="H606" s="9"/>
      <c r="I606" s="22"/>
      <c r="J606" s="24"/>
      <c r="K606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606" s="22"/>
    </row>
    <row r="607" spans="1:12" x14ac:dyDescent="0.25">
      <c r="A607" s="13"/>
      <c r="B607" s="7" t="str">
        <f>IF(Tabela22[[#This Row],[Data]]="","",PROPER(TEXT(Tabela22[[#This Row],[Data]],"mmm")))</f>
        <v/>
      </c>
      <c r="C607" s="1" t="str">
        <f>IF(Tabela22[[#This Row],[Data]]="","",PROPER(TEXT(Tabela22[[#This Row],[Data]],"ddd")))</f>
        <v/>
      </c>
      <c r="D607" s="9"/>
      <c r="E607" s="9"/>
      <c r="F607" s="9"/>
      <c r="G607" s="11"/>
      <c r="H607" s="9"/>
      <c r="I607" s="22"/>
      <c r="J607" s="24"/>
      <c r="K607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607" s="22"/>
    </row>
    <row r="608" spans="1:12" x14ac:dyDescent="0.25">
      <c r="A608" s="13"/>
      <c r="B608" s="7" t="str">
        <f>IF(Tabela22[[#This Row],[Data]]="","",PROPER(TEXT(Tabela22[[#This Row],[Data]],"mmm")))</f>
        <v/>
      </c>
      <c r="C608" s="1" t="str">
        <f>IF(Tabela22[[#This Row],[Data]]="","",PROPER(TEXT(Tabela22[[#This Row],[Data]],"ddd")))</f>
        <v/>
      </c>
      <c r="D608" s="9"/>
      <c r="E608" s="9"/>
      <c r="F608" s="9"/>
      <c r="G608" s="11"/>
      <c r="H608" s="9"/>
      <c r="I608" s="22"/>
      <c r="J608" s="24"/>
      <c r="K608" s="42" t="str">
        <f ca="1">IF(Tabela22[[#This Row],[Data de Vencimento]]=""," ", IF(Tabela22[[#This Row],[Data de Vencimento]]-TODAY()&gt;0,Tabela22[[#This Row],[Data de Vencimento]]-TODAY()  &amp; " Dias para Vencer ", IF(Tabela22[[#This Row],[Data de Vencimento]]-TODAY()=0,"Vence Hoje",ABS(Tabela22[[#This Row],[Data de Vencimento]]-TODAY()) &amp;  " Dias em Atraso ")))</f>
        <v xml:space="preserve"> </v>
      </c>
      <c r="L608" s="22"/>
    </row>
  </sheetData>
  <sheetProtection algorithmName="SHA-512" hashValue="MW7Nm27x7XbDug8sTiEK/holJUVZfWD9HfHxXeRdl26W4N6S9bIZpish7BWhN7rtTGn/xaWk6k4Q88vVmMioRw==" saltValue="yR3XdydmSq6gUJMLz+aTOA==" spinCount="100000" sheet="1" formatCells="0" formatColumns="0" formatRows="0" insertColumns="0" insertRows="0" insertHyperlinks="0" deleteColumns="0" deleteRows="0" sort="0" autoFilter="0" pivotTables="0"/>
  <phoneticPr fontId="6" type="noConversion"/>
  <conditionalFormatting sqref="L9:L608 A9:I608">
    <cfRule type="cellIs" priority="3" operator="between">
      <formula>"""Entrada"""</formula>
      <formula>"""Saída"""</formula>
    </cfRule>
    <cfRule type="expression" dxfId="141" priority="4">
      <formula>$F9="Saída"</formula>
    </cfRule>
    <cfRule type="expression" dxfId="140" priority="5">
      <formula>$F9="Entrada"</formula>
    </cfRule>
  </conditionalFormatting>
  <conditionalFormatting sqref="J9:K608">
    <cfRule type="expression" dxfId="139" priority="1">
      <formula>$F9="Saída"</formula>
    </cfRule>
    <cfRule type="expression" dxfId="138" priority="2">
      <formula>$F9="Entrada"</formula>
    </cfRule>
  </conditionalFormatting>
  <dataValidations count="1">
    <dataValidation type="list" allowBlank="1" showInputMessage="1" showErrorMessage="1" sqref="F11:F608" xr:uid="{A2E3EE7F-D724-462F-8B46-0917C45B59A8}">
      <formula1>"Entrada, Saída,"</formula1>
    </dataValidation>
  </dataValidations>
  <pageMargins left="0.511811024" right="0.511811024" top="0.78740157499999996" bottom="0.78740157499999996" header="0.31496062000000002" footer="0.31496062000000002"/>
  <ignoredErrors>
    <ignoredError sqref="K10:K608" unlockedFormula="1"/>
    <ignoredError sqref="O11:O21 P10:P21" calculatedColumn="1"/>
  </ignoredErrors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3B55F72-9750-4E9F-89C6-57180C12F7C8}">
          <x14:formula1>
            <xm:f>Cadastro!$C$8:$C$16</xm:f>
          </x14:formula1>
          <xm:sqref>I11:I608</xm:sqref>
        </x14:dataValidation>
        <x14:dataValidation type="list" allowBlank="1" showInputMessage="1" showErrorMessage="1" xr:uid="{7908FF8B-7303-48E8-9AF7-B6A620081AED}">
          <x14:formula1>
            <xm:f>Cadastro!$E$9:$E$10</xm:f>
          </x14:formula1>
          <xm:sqref>F10</xm:sqref>
        </x14:dataValidation>
        <x14:dataValidation type="list" allowBlank="1" showInputMessage="1" showErrorMessage="1" xr:uid="{D8D8C543-C19F-45DF-AC35-D057D2DA711A}">
          <x14:formula1>
            <xm:f>Cadastro!$B$8:$B$26</xm:f>
          </x14:formula1>
          <xm:sqref>H11:H608</xm:sqref>
        </x14:dataValidation>
        <x14:dataValidation type="list" allowBlank="1" showInputMessage="1" showErrorMessage="1" xr:uid="{BD120D43-CA95-4FE8-8D31-7B1A743EAEE5}">
          <x14:formula1>
            <xm:f>Cadastro!$A$8:$A$26</xm:f>
          </x14:formula1>
          <xm:sqref>E11:E608</xm:sqref>
        </x14:dataValidation>
        <x14:dataValidation type="list" allowBlank="1" showInputMessage="1" showErrorMessage="1" xr:uid="{27BA322B-51C0-4384-A82F-EC208F96D0E6}">
          <x14:formula1>
            <xm:f>Cadastro!$A$8:$A$45</xm:f>
          </x14:formula1>
          <xm:sqref>E10</xm:sqref>
        </x14:dataValidation>
        <x14:dataValidation type="list" allowBlank="1" showInputMessage="1" showErrorMessage="1" xr:uid="{074D562F-7F0D-4FE2-8DBE-C3CF518D7D4B}">
          <x14:formula1>
            <xm:f>Cadastro!$B$8:$B$32</xm:f>
          </x14:formula1>
          <xm:sqref>H10</xm:sqref>
        </x14:dataValidation>
        <x14:dataValidation type="list" allowBlank="1" showInputMessage="1" showErrorMessage="1" xr:uid="{9AD40CBC-EC90-4425-A399-1FDCF255BD11}">
          <x14:formula1>
            <xm:f>Cadastro!$C$8:$C$18</xm:f>
          </x14:formula1>
          <xm:sqref>I10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88946-8219-44A6-8E56-5E4C1B707D7A}">
  <sheetPr codeName="Planilha1"/>
  <dimension ref="A1:AN72"/>
  <sheetViews>
    <sheetView showGridLines="0" showRuler="0" topLeftCell="T1" zoomScale="50" zoomScaleNormal="50" zoomScaleSheetLayoutView="50" workbookViewId="0"/>
  </sheetViews>
  <sheetFormatPr defaultRowHeight="15" x14ac:dyDescent="0.25"/>
  <cols>
    <col min="1" max="1" width="18.7109375" style="17" hidden="1" customWidth="1"/>
    <col min="2" max="2" width="20" style="17" hidden="1" customWidth="1"/>
    <col min="3" max="3" width="10" style="17" hidden="1" customWidth="1"/>
    <col min="4" max="7" width="11" style="17" hidden="1" customWidth="1"/>
    <col min="8" max="8" width="19.42578125" style="17" hidden="1" customWidth="1"/>
    <col min="9" max="9" width="20" style="17" hidden="1" customWidth="1"/>
    <col min="10" max="11" width="11" style="17" hidden="1" customWidth="1"/>
    <col min="12" max="12" width="25.85546875" style="17" hidden="1" customWidth="1"/>
    <col min="13" max="13" width="20" style="17" hidden="1" customWidth="1"/>
    <col min="14" max="15" width="11" style="17" hidden="1" customWidth="1"/>
    <col min="16" max="17" width="18.7109375" style="17" hidden="1" customWidth="1"/>
    <col min="18" max="19" width="11" style="17" hidden="1" customWidth="1"/>
    <col min="20" max="20" width="4.42578125" style="17" customWidth="1"/>
    <col min="21" max="21" width="6" customWidth="1"/>
    <col min="22" max="22" width="18.140625" bestFit="1" customWidth="1"/>
    <col min="23" max="23" width="14.42578125" bestFit="1" customWidth="1"/>
    <col min="28" max="28" width="18" bestFit="1" customWidth="1"/>
    <col min="29" max="29" width="19.5703125" bestFit="1" customWidth="1"/>
    <col min="30" max="31" width="14.42578125" bestFit="1" customWidth="1"/>
  </cols>
  <sheetData>
    <row r="1" spans="1:40" x14ac:dyDescent="0.25">
      <c r="A1" s="28" t="s">
        <v>8</v>
      </c>
      <c r="B1" s="28" t="s">
        <v>7</v>
      </c>
      <c r="C1"/>
      <c r="D1"/>
      <c r="E1"/>
      <c r="F1"/>
      <c r="G1"/>
      <c r="H1" s="28" t="s">
        <v>8</v>
      </c>
      <c r="I1" s="28" t="s">
        <v>7</v>
      </c>
      <c r="J1"/>
      <c r="K1"/>
      <c r="L1" s="28" t="s">
        <v>8</v>
      </c>
      <c r="M1" s="28" t="s">
        <v>7</v>
      </c>
      <c r="N1"/>
      <c r="O1"/>
      <c r="P1" s="28" t="s">
        <v>12</v>
      </c>
      <c r="Q1" t="s">
        <v>8</v>
      </c>
      <c r="R1"/>
      <c r="S1"/>
    </row>
    <row r="2" spans="1:40" x14ac:dyDescent="0.25">
      <c r="A2" s="28" t="s">
        <v>12</v>
      </c>
      <c r="B2" t="s">
        <v>9</v>
      </c>
      <c r="C2"/>
      <c r="D2"/>
      <c r="E2"/>
      <c r="F2"/>
      <c r="G2"/>
      <c r="H2" s="28" t="s">
        <v>77</v>
      </c>
      <c r="I2" t="s">
        <v>9</v>
      </c>
      <c r="J2"/>
      <c r="K2"/>
      <c r="L2" s="28" t="s">
        <v>12</v>
      </c>
      <c r="M2"/>
      <c r="N2"/>
      <c r="O2"/>
      <c r="P2" s="29" t="s">
        <v>68</v>
      </c>
      <c r="Q2" s="30">
        <v>1000</v>
      </c>
      <c r="R2"/>
      <c r="S2"/>
    </row>
    <row r="3" spans="1:40" x14ac:dyDescent="0.25">
      <c r="A3" s="75" t="s">
        <v>146</v>
      </c>
      <c r="B3" s="74">
        <v>1000</v>
      </c>
      <c r="C3"/>
      <c r="D3"/>
      <c r="E3" s="31"/>
      <c r="F3" s="31"/>
      <c r="G3" s="31"/>
      <c r="H3" s="29" t="s">
        <v>22</v>
      </c>
      <c r="I3" s="30">
        <v>1000</v>
      </c>
      <c r="J3" s="31"/>
      <c r="K3" s="31"/>
      <c r="L3"/>
      <c r="M3"/>
      <c r="N3" s="31"/>
      <c r="O3" s="31"/>
      <c r="P3" s="29" t="s">
        <v>81</v>
      </c>
      <c r="Q3" s="30"/>
      <c r="R3" s="31"/>
      <c r="S3" s="31"/>
      <c r="V3" s="19"/>
      <c r="W3" s="32"/>
    </row>
    <row r="4" spans="1:40" x14ac:dyDescent="0.25">
      <c r="A4"/>
      <c r="B4"/>
      <c r="C4"/>
      <c r="D4"/>
      <c r="E4" s="31"/>
      <c r="F4" s="31"/>
      <c r="G4" s="31"/>
      <c r="H4"/>
      <c r="I4"/>
      <c r="J4" s="31"/>
      <c r="K4" s="31"/>
      <c r="L4"/>
      <c r="M4"/>
      <c r="N4" s="31"/>
      <c r="O4" s="31"/>
      <c r="P4"/>
      <c r="Q4"/>
      <c r="R4" s="31"/>
      <c r="S4" s="31"/>
      <c r="V4" s="19"/>
      <c r="W4" s="32"/>
    </row>
    <row r="5" spans="1:40" x14ac:dyDescent="0.25">
      <c r="A5"/>
      <c r="B5"/>
      <c r="C5"/>
      <c r="D5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/>
      <c r="Q5"/>
      <c r="R5" s="31"/>
      <c r="S5" s="31"/>
      <c r="T5"/>
      <c r="V5" s="19"/>
      <c r="W5" s="33"/>
    </row>
    <row r="6" spans="1:40" x14ac:dyDescent="0.25">
      <c r="A6"/>
      <c r="B6"/>
      <c r="C6"/>
      <c r="D6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/>
      <c r="Q6"/>
      <c r="R6" s="31"/>
      <c r="S6" s="31"/>
      <c r="T6"/>
      <c r="V6" s="34"/>
      <c r="W6" s="32"/>
    </row>
    <row r="7" spans="1:40" x14ac:dyDescent="0.25">
      <c r="A7"/>
      <c r="B7"/>
      <c r="C7"/>
      <c r="D7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/>
      <c r="Q7"/>
      <c r="R7" s="31"/>
      <c r="S7" s="31"/>
      <c r="T7"/>
      <c r="AN7" s="35"/>
    </row>
    <row r="8" spans="1:40" x14ac:dyDescent="0.25">
      <c r="A8"/>
      <c r="B8"/>
      <c r="C8"/>
      <c r="D8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/>
    </row>
    <row r="9" spans="1:40" x14ac:dyDescent="0.25">
      <c r="A9"/>
      <c r="B9"/>
      <c r="C9"/>
      <c r="D9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</row>
    <row r="10" spans="1:40" ht="21" customHeight="1" x14ac:dyDescent="0.25">
      <c r="A10"/>
      <c r="B10"/>
      <c r="C10"/>
      <c r="D1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</row>
    <row r="11" spans="1:40" ht="21.75" customHeight="1" x14ac:dyDescent="0.25">
      <c r="A11"/>
      <c r="B11"/>
      <c r="C11"/>
      <c r="D1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</row>
    <row r="12" spans="1:40" ht="20.25" customHeight="1" x14ac:dyDescent="0.25">
      <c r="A12"/>
      <c r="B12"/>
      <c r="C12"/>
      <c r="D12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</row>
    <row r="13" spans="1:40" ht="15.75" customHeight="1" x14ac:dyDescent="0.25">
      <c r="A13"/>
      <c r="B13"/>
      <c r="C13"/>
      <c r="D13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</row>
    <row r="14" spans="1:40" x14ac:dyDescent="0.25">
      <c r="A14"/>
      <c r="B14"/>
      <c r="C14"/>
      <c r="D14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N14" s="18"/>
    </row>
    <row r="15" spans="1:40" x14ac:dyDescent="0.25">
      <c r="A15"/>
      <c r="B15"/>
      <c r="C15"/>
      <c r="D15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</row>
    <row r="16" spans="1:40" x14ac:dyDescent="0.25"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</row>
    <row r="17" spans="1:38" x14ac:dyDescent="0.25">
      <c r="A17" s="60" t="s">
        <v>101</v>
      </c>
      <c r="B17" s="61">
        <f>SUM($B$3:$B$14)</f>
        <v>1000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</row>
    <row r="18" spans="1:38" x14ac:dyDescent="0.25">
      <c r="A18" s="60" t="s">
        <v>102</v>
      </c>
      <c r="B18" s="61">
        <f>SUM($C$3:$C$14)</f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</row>
    <row r="19" spans="1:38" x14ac:dyDescent="0.25">
      <c r="A19" s="60" t="s">
        <v>85</v>
      </c>
      <c r="B19" s="61">
        <f>$B$17-$B$18</f>
        <v>1000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</row>
    <row r="20" spans="1:38" x14ac:dyDescent="0.25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</row>
    <row r="21" spans="1:38" x14ac:dyDescent="0.25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</row>
    <row r="22" spans="1:38" x14ac:dyDescent="0.25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</row>
    <row r="23" spans="1:38" x14ac:dyDescent="0.25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</row>
    <row r="24" spans="1:38" x14ac:dyDescent="0.25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</row>
    <row r="25" spans="1:38" hidden="1" x14ac:dyDescent="0.25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</row>
    <row r="26" spans="1:38" x14ac:dyDescent="0.25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</row>
    <row r="27" spans="1:38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</row>
    <row r="28" spans="1:38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</row>
    <row r="29" spans="1:38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</row>
    <row r="30" spans="1:38" x14ac:dyDescent="0.25">
      <c r="A30"/>
      <c r="B30"/>
      <c r="C30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</row>
    <row r="31" spans="1:38" hidden="1" x14ac:dyDescent="0.25">
      <c r="A31"/>
      <c r="B31"/>
      <c r="C31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</row>
    <row r="32" spans="1:38" x14ac:dyDescent="0.25">
      <c r="A32"/>
      <c r="B32"/>
      <c r="C32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</row>
    <row r="33" spans="1:38" x14ac:dyDescent="0.25">
      <c r="A33"/>
      <c r="B33"/>
      <c r="C33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</row>
    <row r="34" spans="1:38" x14ac:dyDescent="0.25">
      <c r="A34"/>
      <c r="B34"/>
      <c r="C34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</row>
    <row r="35" spans="1:38" x14ac:dyDescent="0.25">
      <c r="A35"/>
      <c r="B35"/>
      <c r="C35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</row>
    <row r="36" spans="1:38" x14ac:dyDescent="0.25">
      <c r="A36"/>
      <c r="B36"/>
      <c r="C36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</row>
    <row r="37" spans="1:38" x14ac:dyDescent="0.25">
      <c r="A37"/>
      <c r="B37"/>
      <c r="C3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</row>
    <row r="38" spans="1:38" x14ac:dyDescent="0.25">
      <c r="A38"/>
      <c r="B38"/>
      <c r="C38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</row>
    <row r="39" spans="1:38" x14ac:dyDescent="0.25">
      <c r="A39"/>
      <c r="B39"/>
      <c r="C39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</row>
    <row r="40" spans="1:38" x14ac:dyDescent="0.25">
      <c r="A40"/>
      <c r="B40"/>
      <c r="C40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</row>
    <row r="41" spans="1:38" x14ac:dyDescent="0.25">
      <c r="C41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</row>
    <row r="42" spans="1:38" x14ac:dyDescent="0.25">
      <c r="C42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</row>
    <row r="43" spans="1:38" x14ac:dyDescent="0.25">
      <c r="C43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</row>
    <row r="44" spans="1:38" x14ac:dyDescent="0.25">
      <c r="A44"/>
      <c r="B44"/>
      <c r="C44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</row>
    <row r="45" spans="1:38" x14ac:dyDescent="0.25">
      <c r="A45"/>
      <c r="B45"/>
      <c r="C45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</row>
    <row r="46" spans="1:38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</row>
    <row r="47" spans="1:38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</row>
    <row r="48" spans="1:38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3" x14ac:dyDescent="0.25">
      <c r="A49"/>
      <c r="B49"/>
      <c r="C49"/>
    </row>
    <row r="50" spans="1:3" x14ac:dyDescent="0.25">
      <c r="A50"/>
      <c r="B50"/>
      <c r="C50"/>
    </row>
    <row r="51" spans="1:3" x14ac:dyDescent="0.25">
      <c r="A51"/>
      <c r="B51"/>
      <c r="C51"/>
    </row>
    <row r="52" spans="1:3" x14ac:dyDescent="0.25">
      <c r="A52"/>
      <c r="B52"/>
      <c r="C52"/>
    </row>
    <row r="53" spans="1:3" x14ac:dyDescent="0.25">
      <c r="A53"/>
      <c r="B53"/>
      <c r="C53"/>
    </row>
    <row r="54" spans="1:3" x14ac:dyDescent="0.25">
      <c r="A54"/>
      <c r="B54"/>
      <c r="C54"/>
    </row>
    <row r="55" spans="1:3" x14ac:dyDescent="0.25">
      <c r="C55"/>
    </row>
    <row r="56" spans="1:3" x14ac:dyDescent="0.25">
      <c r="C56"/>
    </row>
    <row r="57" spans="1:3" x14ac:dyDescent="0.25">
      <c r="C57"/>
    </row>
    <row r="58" spans="1:3" x14ac:dyDescent="0.25">
      <c r="C58"/>
    </row>
    <row r="59" spans="1:3" x14ac:dyDescent="0.25">
      <c r="C59"/>
    </row>
    <row r="60" spans="1:3" x14ac:dyDescent="0.25">
      <c r="C60"/>
    </row>
    <row r="61" spans="1:3" x14ac:dyDescent="0.25">
      <c r="C61"/>
    </row>
    <row r="62" spans="1:3" x14ac:dyDescent="0.25">
      <c r="A62"/>
      <c r="B62"/>
      <c r="C62"/>
    </row>
    <row r="63" spans="1:3" x14ac:dyDescent="0.25">
      <c r="A63"/>
      <c r="B63"/>
      <c r="C63"/>
    </row>
    <row r="64" spans="1:3" x14ac:dyDescent="0.25">
      <c r="A64"/>
      <c r="B64"/>
      <c r="C64"/>
    </row>
    <row r="65" spans="1:3" x14ac:dyDescent="0.25">
      <c r="A65"/>
      <c r="B65"/>
      <c r="C65"/>
    </row>
    <row r="66" spans="1:3" x14ac:dyDescent="0.25">
      <c r="A66"/>
      <c r="B66"/>
      <c r="C66"/>
    </row>
    <row r="67" spans="1:3" x14ac:dyDescent="0.25">
      <c r="A67"/>
      <c r="B67"/>
      <c r="C67"/>
    </row>
    <row r="68" spans="1:3" x14ac:dyDescent="0.25">
      <c r="A68"/>
      <c r="B68"/>
      <c r="C68"/>
    </row>
    <row r="69" spans="1:3" x14ac:dyDescent="0.25">
      <c r="A69"/>
      <c r="B69"/>
      <c r="C69"/>
    </row>
    <row r="70" spans="1:3" x14ac:dyDescent="0.25">
      <c r="A70"/>
      <c r="B70"/>
      <c r="C70"/>
    </row>
    <row r="71" spans="1:3" x14ac:dyDescent="0.25">
      <c r="A71"/>
      <c r="B71"/>
      <c r="C71"/>
    </row>
    <row r="72" spans="1:3" x14ac:dyDescent="0.25">
      <c r="A72"/>
      <c r="B72"/>
      <c r="C72"/>
    </row>
  </sheetData>
  <pageMargins left="0.511811024" right="0.511811024" top="0.78740157499999996" bottom="0.78740157499999996" header="0.31496062000000002" footer="0.31496062000000002"/>
  <pageSetup paperSize="9" orientation="portrait" r:id="rId5"/>
  <ignoredErrors>
    <ignoredError sqref="B17:B19" unlockedFormula="1"/>
  </ignoredErrors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F3D32-6750-4077-823A-37E93CC002D1}">
  <sheetPr codeName="Planilha4"/>
  <dimension ref="A1:AU83"/>
  <sheetViews>
    <sheetView showGridLines="0" showRuler="0" topLeftCell="AB1" zoomScale="50" zoomScaleNormal="50" zoomScaleSheetLayoutView="50" workbookViewId="0"/>
  </sheetViews>
  <sheetFormatPr defaultRowHeight="15" x14ac:dyDescent="0.25"/>
  <cols>
    <col min="1" max="1" width="24" style="17" hidden="1" customWidth="1"/>
    <col min="2" max="2" width="25.85546875" style="17" hidden="1" customWidth="1"/>
    <col min="3" max="3" width="8.28515625" style="17" hidden="1" customWidth="1"/>
    <col min="4" max="4" width="7" style="17" hidden="1" customWidth="1"/>
    <col min="5" max="5" width="10.7109375" style="17" hidden="1" customWidth="1"/>
    <col min="6" max="6" width="14.28515625" style="17" hidden="1" customWidth="1"/>
    <col min="7" max="7" width="24" style="17" hidden="1" customWidth="1"/>
    <col min="8" max="8" width="25.85546875" style="17" hidden="1" customWidth="1"/>
    <col min="9" max="9" width="10.7109375" style="17" hidden="1" customWidth="1"/>
    <col min="10" max="11" width="14.28515625" style="17" hidden="1" customWidth="1"/>
    <col min="12" max="12" width="24" style="17" hidden="1" customWidth="1"/>
    <col min="13" max="13" width="25.85546875" style="17" hidden="1" customWidth="1"/>
    <col min="14" max="14" width="10.7109375" style="17" hidden="1" customWidth="1"/>
    <col min="15" max="16" width="14.28515625" style="17" hidden="1" customWidth="1"/>
    <col min="17" max="17" width="24" style="17" hidden="1" customWidth="1"/>
    <col min="18" max="18" width="25.85546875" style="17" hidden="1" customWidth="1"/>
    <col min="19" max="20" width="14.28515625" style="17" hidden="1" customWidth="1"/>
    <col min="21" max="21" width="24" style="17" hidden="1" customWidth="1"/>
    <col min="22" max="22" width="23.85546875" style="17" hidden="1" customWidth="1"/>
    <col min="23" max="23" width="18.7109375" style="17" hidden="1" customWidth="1"/>
    <col min="24" max="24" width="24" style="17" hidden="1" customWidth="1"/>
    <col min="25" max="25" width="23.85546875" style="17" hidden="1" customWidth="1"/>
    <col min="26" max="26" width="14.28515625" style="17" hidden="1" customWidth="1"/>
    <col min="27" max="27" width="10.7109375" style="17" hidden="1" customWidth="1"/>
    <col min="28" max="28" width="6" customWidth="1"/>
    <col min="29" max="29" width="18.140625" bestFit="1" customWidth="1"/>
    <col min="30" max="30" width="14.42578125" bestFit="1" customWidth="1"/>
    <col min="35" max="35" width="18" bestFit="1" customWidth="1"/>
    <col min="36" max="36" width="19.5703125" bestFit="1" customWidth="1"/>
    <col min="37" max="38" width="14.42578125" bestFit="1" customWidth="1"/>
  </cols>
  <sheetData>
    <row r="1" spans="1:47" x14ac:dyDescent="0.25">
      <c r="A1" s="28" t="s">
        <v>8</v>
      </c>
      <c r="B1" s="28" t="s">
        <v>7</v>
      </c>
      <c r="C1"/>
      <c r="D1"/>
      <c r="E1"/>
      <c r="F1"/>
      <c r="G1" s="28" t="s">
        <v>8</v>
      </c>
      <c r="H1" s="28" t="s">
        <v>7</v>
      </c>
      <c r="I1"/>
      <c r="J1"/>
      <c r="K1"/>
      <c r="L1" s="28" t="s">
        <v>8</v>
      </c>
      <c r="M1" s="28" t="s">
        <v>7</v>
      </c>
      <c r="N1"/>
      <c r="O1"/>
      <c r="P1"/>
      <c r="Q1" s="28" t="s">
        <v>8</v>
      </c>
      <c r="R1" s="28" t="s">
        <v>7</v>
      </c>
      <c r="S1"/>
      <c r="T1"/>
      <c r="U1" s="28" t="s">
        <v>12</v>
      </c>
      <c r="V1" t="s">
        <v>8</v>
      </c>
      <c r="W1"/>
      <c r="X1" s="28" t="s">
        <v>12</v>
      </c>
      <c r="Y1" t="s">
        <v>8</v>
      </c>
      <c r="Z1"/>
      <c r="AA1"/>
    </row>
    <row r="2" spans="1:47" x14ac:dyDescent="0.25">
      <c r="A2" s="28" t="s">
        <v>12</v>
      </c>
      <c r="B2" t="s">
        <v>10</v>
      </c>
      <c r="C2"/>
      <c r="D2"/>
      <c r="E2"/>
      <c r="F2"/>
      <c r="G2" s="28" t="s">
        <v>12</v>
      </c>
      <c r="H2"/>
      <c r="I2"/>
      <c r="J2"/>
      <c r="K2"/>
      <c r="L2" s="28" t="s">
        <v>12</v>
      </c>
      <c r="M2" t="s">
        <v>10</v>
      </c>
      <c r="N2"/>
      <c r="O2"/>
      <c r="P2"/>
      <c r="Q2" s="28" t="s">
        <v>12</v>
      </c>
      <c r="R2"/>
      <c r="S2"/>
      <c r="T2"/>
      <c r="U2" s="29" t="s">
        <v>69</v>
      </c>
      <c r="V2" s="30">
        <v>800</v>
      </c>
      <c r="W2" s="30"/>
      <c r="X2" s="29" t="s">
        <v>69</v>
      </c>
      <c r="Y2" s="31">
        <v>800</v>
      </c>
      <c r="Z2"/>
      <c r="AA2"/>
    </row>
    <row r="3" spans="1:47" x14ac:dyDescent="0.25">
      <c r="A3" s="29" t="s">
        <v>146</v>
      </c>
      <c r="B3" s="76">
        <v>800</v>
      </c>
      <c r="C3"/>
      <c r="D3"/>
      <c r="E3"/>
      <c r="F3" s="30"/>
      <c r="G3"/>
      <c r="H3"/>
      <c r="I3"/>
      <c r="J3" s="30"/>
      <c r="K3" s="30"/>
      <c r="L3" s="29" t="s">
        <v>53</v>
      </c>
      <c r="M3" s="30">
        <v>800</v>
      </c>
      <c r="N3"/>
      <c r="O3" s="30"/>
      <c r="P3" s="30"/>
      <c r="Q3"/>
      <c r="R3"/>
      <c r="S3" s="30"/>
      <c r="T3" s="30"/>
      <c r="U3" s="29" t="s">
        <v>81</v>
      </c>
      <c r="V3" s="30"/>
      <c r="W3" s="30"/>
      <c r="X3" s="29" t="s">
        <v>81</v>
      </c>
      <c r="Y3" s="31"/>
      <c r="Z3" s="30"/>
      <c r="AA3"/>
      <c r="AC3" s="19"/>
      <c r="AD3" s="32"/>
    </row>
    <row r="4" spans="1:47" x14ac:dyDescent="0.25">
      <c r="A4"/>
      <c r="B4"/>
      <c r="C4"/>
      <c r="D4"/>
      <c r="E4"/>
      <c r="F4" s="30"/>
      <c r="G4"/>
      <c r="H4"/>
      <c r="I4"/>
      <c r="J4" s="30"/>
      <c r="K4" s="30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C4" s="19"/>
      <c r="AD4" s="32"/>
    </row>
    <row r="5" spans="1:47" x14ac:dyDescent="0.25">
      <c r="A5"/>
      <c r="B5"/>
      <c r="C5"/>
      <c r="D5"/>
      <c r="E5"/>
      <c r="F5" s="30"/>
      <c r="G5"/>
      <c r="H5"/>
      <c r="I5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/>
      <c r="V5"/>
      <c r="W5"/>
      <c r="X5"/>
      <c r="Y5"/>
      <c r="Z5" s="30"/>
      <c r="AA5"/>
      <c r="AC5" s="19"/>
      <c r="AD5" s="33"/>
    </row>
    <row r="6" spans="1:47" x14ac:dyDescent="0.25">
      <c r="A6"/>
      <c r="B6"/>
      <c r="C6"/>
      <c r="D6"/>
      <c r="E6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/>
      <c r="AC6" s="34"/>
      <c r="AD6" s="32"/>
    </row>
    <row r="7" spans="1:47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U7" s="35"/>
    </row>
    <row r="8" spans="1:47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</row>
    <row r="9" spans="1:47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</row>
    <row r="10" spans="1:47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</row>
    <row r="11" spans="1:47" hidden="1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</row>
    <row r="12" spans="1:47" hidden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</row>
    <row r="13" spans="1:47" hidden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</row>
    <row r="14" spans="1:47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U14" s="18"/>
    </row>
    <row r="15" spans="1:47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</row>
    <row r="16" spans="1:47" x14ac:dyDescent="0.25">
      <c r="A16"/>
      <c r="B16"/>
      <c r="C16"/>
      <c r="D16"/>
      <c r="E16"/>
      <c r="F16"/>
      <c r="G16"/>
      <c r="H16"/>
      <c r="I16"/>
      <c r="J16"/>
      <c r="K16"/>
      <c r="L16"/>
      <c r="O16"/>
      <c r="P16"/>
      <c r="Q16"/>
      <c r="R16"/>
      <c r="S16"/>
      <c r="T16"/>
      <c r="U16"/>
      <c r="V16"/>
      <c r="W16"/>
      <c r="X16"/>
      <c r="Y16"/>
      <c r="Z16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</row>
    <row r="17" spans="1:45" x14ac:dyDescent="0.25">
      <c r="A17"/>
      <c r="B17"/>
      <c r="C17"/>
      <c r="D17"/>
      <c r="E17"/>
      <c r="F17"/>
      <c r="G17"/>
      <c r="H17"/>
      <c r="I17"/>
      <c r="J17"/>
      <c r="K17"/>
      <c r="L17"/>
      <c r="O17"/>
      <c r="P17"/>
      <c r="Q17"/>
      <c r="R17"/>
      <c r="S17"/>
      <c r="T17"/>
      <c r="U17"/>
      <c r="V17"/>
      <c r="W17"/>
      <c r="X17"/>
      <c r="Y17"/>
      <c r="Z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</row>
    <row r="18" spans="1:45" x14ac:dyDescent="0.25">
      <c r="A18"/>
      <c r="B18"/>
      <c r="C18"/>
      <c r="D18"/>
      <c r="E18"/>
      <c r="F18"/>
      <c r="G18"/>
      <c r="H18"/>
      <c r="I18"/>
      <c r="J18"/>
      <c r="K18"/>
      <c r="L18"/>
      <c r="O18"/>
      <c r="P18"/>
      <c r="Q18"/>
      <c r="R18"/>
      <c r="S18"/>
      <c r="T18"/>
      <c r="U18"/>
      <c r="V18"/>
      <c r="W18"/>
      <c r="X18"/>
      <c r="Y18"/>
      <c r="Z18"/>
      <c r="AA18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</row>
    <row r="19" spans="1:45" x14ac:dyDescent="0.25"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</row>
    <row r="20" spans="1:45" x14ac:dyDescent="0.25">
      <c r="A20" s="62" t="s">
        <v>103</v>
      </c>
      <c r="B20" s="63">
        <f>SUM($B$3:$B$14)</f>
        <v>800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</row>
    <row r="21" spans="1:45" x14ac:dyDescent="0.25">
      <c r="A21" s="62" t="s">
        <v>75</v>
      </c>
      <c r="B21" s="63">
        <f>SUM($C$3:$C$14)</f>
        <v>0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</row>
    <row r="22" spans="1:45" x14ac:dyDescent="0.25">
      <c r="A22" s="62" t="s">
        <v>76</v>
      </c>
      <c r="B22" s="63">
        <f>$B$20-$B$21</f>
        <v>800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</row>
    <row r="26" spans="1:45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</row>
    <row r="27" spans="1:45" x14ac:dyDescent="0.25"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</row>
    <row r="28" spans="1:45" x14ac:dyDescent="0.25"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</row>
    <row r="29" spans="1:45" x14ac:dyDescent="0.25"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</row>
    <row r="30" spans="1:45" hidden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</row>
    <row r="31" spans="1:45" x14ac:dyDescent="0.25"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</row>
    <row r="32" spans="1:45" x14ac:dyDescent="0.25"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</row>
    <row r="33" spans="1:45" x14ac:dyDescent="0.25"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</row>
    <row r="34" spans="1:45" x14ac:dyDescent="0.25"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</row>
    <row r="35" spans="1:45" x14ac:dyDescent="0.25">
      <c r="A35"/>
      <c r="B35"/>
      <c r="C35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</row>
    <row r="36" spans="1:45" hidden="1" x14ac:dyDescent="0.25">
      <c r="A36"/>
      <c r="B36"/>
      <c r="C36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</row>
    <row r="37" spans="1:45" x14ac:dyDescent="0.25">
      <c r="A37"/>
      <c r="B37"/>
      <c r="C3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</row>
    <row r="38" spans="1:45" x14ac:dyDescent="0.25">
      <c r="A38"/>
      <c r="B38"/>
      <c r="C38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</row>
    <row r="39" spans="1:45" x14ac:dyDescent="0.25">
      <c r="A39"/>
      <c r="B39"/>
      <c r="C39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</row>
    <row r="40" spans="1:45" x14ac:dyDescent="0.25">
      <c r="A40"/>
      <c r="B40"/>
      <c r="C40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</row>
    <row r="41" spans="1:45" x14ac:dyDescent="0.25">
      <c r="A41"/>
      <c r="B41"/>
      <c r="C41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</row>
    <row r="42" spans="1:45" x14ac:dyDescent="0.25">
      <c r="A42"/>
      <c r="B42"/>
      <c r="C42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</row>
    <row r="43" spans="1:45" x14ac:dyDescent="0.25">
      <c r="A43"/>
      <c r="B43"/>
      <c r="C43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</row>
    <row r="44" spans="1:45" x14ac:dyDescent="0.25">
      <c r="A44"/>
      <c r="B44"/>
      <c r="C44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</row>
    <row r="45" spans="1:45" x14ac:dyDescent="0.25">
      <c r="A45"/>
      <c r="B45"/>
      <c r="C45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</row>
    <row r="46" spans="1:45" x14ac:dyDescent="0.25"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</row>
    <row r="47" spans="1:45" x14ac:dyDescent="0.25">
      <c r="A47"/>
      <c r="B47"/>
      <c r="C4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</row>
    <row r="48" spans="1:45" x14ac:dyDescent="0.25">
      <c r="A48"/>
      <c r="B48"/>
      <c r="C48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</row>
    <row r="49" spans="1:47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</row>
    <row r="50" spans="1:47" s="17" customFormat="1" x14ac:dyDescent="0.25">
      <c r="A50"/>
      <c r="B50"/>
      <c r="C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</row>
    <row r="51" spans="1:47" s="17" customFormat="1" x14ac:dyDescent="0.25">
      <c r="A51"/>
      <c r="B51"/>
      <c r="C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</row>
    <row r="52" spans="1:47" s="17" customFormat="1" x14ac:dyDescent="0.25">
      <c r="A52"/>
      <c r="B52"/>
      <c r="C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</row>
    <row r="53" spans="1:47" s="17" customFormat="1" x14ac:dyDescent="0.25">
      <c r="A53"/>
      <c r="B53"/>
      <c r="C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</row>
    <row r="54" spans="1:47" s="17" customFormat="1" x14ac:dyDescent="0.25">
      <c r="C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</row>
    <row r="55" spans="1:47" s="17" customFormat="1" x14ac:dyDescent="0.25">
      <c r="C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</row>
    <row r="56" spans="1:47" s="17" customFormat="1" x14ac:dyDescent="0.25">
      <c r="C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</row>
    <row r="57" spans="1:47" s="17" customFormat="1" x14ac:dyDescent="0.25">
      <c r="C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</row>
    <row r="58" spans="1:47" x14ac:dyDescent="0.25">
      <c r="C58"/>
    </row>
    <row r="59" spans="1:47" x14ac:dyDescent="0.25">
      <c r="C59"/>
    </row>
    <row r="60" spans="1:47" x14ac:dyDescent="0.25">
      <c r="C60"/>
    </row>
    <row r="61" spans="1:47" x14ac:dyDescent="0.25">
      <c r="C61"/>
    </row>
    <row r="66" spans="1:3" x14ac:dyDescent="0.25">
      <c r="C66"/>
    </row>
    <row r="67" spans="1:3" x14ac:dyDescent="0.25">
      <c r="C67"/>
    </row>
    <row r="68" spans="1:3" x14ac:dyDescent="0.25">
      <c r="C68"/>
    </row>
    <row r="69" spans="1:3" x14ac:dyDescent="0.25">
      <c r="C69"/>
    </row>
    <row r="70" spans="1:3" x14ac:dyDescent="0.25">
      <c r="C70"/>
    </row>
    <row r="71" spans="1:3" x14ac:dyDescent="0.25">
      <c r="A71"/>
      <c r="B71"/>
      <c r="C71"/>
    </row>
    <row r="72" spans="1:3" x14ac:dyDescent="0.25">
      <c r="C72"/>
    </row>
    <row r="73" spans="1:3" x14ac:dyDescent="0.25">
      <c r="C73"/>
    </row>
    <row r="74" spans="1:3" x14ac:dyDescent="0.25">
      <c r="C74"/>
    </row>
    <row r="75" spans="1:3" x14ac:dyDescent="0.25">
      <c r="C75"/>
    </row>
    <row r="76" spans="1:3" x14ac:dyDescent="0.25">
      <c r="C76"/>
    </row>
    <row r="77" spans="1:3" x14ac:dyDescent="0.25">
      <c r="A77"/>
      <c r="B77"/>
      <c r="C77"/>
    </row>
    <row r="78" spans="1:3" x14ac:dyDescent="0.25">
      <c r="C78"/>
    </row>
    <row r="79" spans="1:3" x14ac:dyDescent="0.25">
      <c r="C79"/>
    </row>
    <row r="80" spans="1:3" x14ac:dyDescent="0.25">
      <c r="C80"/>
    </row>
    <row r="81" spans="1:3" x14ac:dyDescent="0.25">
      <c r="C81"/>
    </row>
    <row r="82" spans="1:3" x14ac:dyDescent="0.25">
      <c r="A82"/>
      <c r="B82"/>
      <c r="C82"/>
    </row>
    <row r="83" spans="1:3" x14ac:dyDescent="0.25">
      <c r="A83"/>
      <c r="B83"/>
      <c r="C83"/>
    </row>
  </sheetData>
  <pageMargins left="0.511811024" right="0.511811024" top="0.78740157499999996" bottom="0.78740157499999996" header="0.31496062000000002" footer="0.31496062000000002"/>
  <pageSetup paperSize="9" orientation="portrait" r:id="rId7"/>
  <ignoredErrors>
    <ignoredError sqref="B20:B22" unlockedFormula="1"/>
  </ignoredErrors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CBD0203-DA13-408C-906E-D81802944C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Cadastro</vt:lpstr>
      <vt:lpstr>Pessoal</vt:lpstr>
      <vt:lpstr>Empresa</vt:lpstr>
      <vt:lpstr>Dashboard Empresa</vt:lpstr>
      <vt:lpstr>Dashboard Pessoal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Pires Santos</dc:creator>
  <cp:lastModifiedBy>h9059</cp:lastModifiedBy>
  <dcterms:created xsi:type="dcterms:W3CDTF">2025-07-09T13:39:15Z</dcterms:created>
  <dcterms:modified xsi:type="dcterms:W3CDTF">2026-05-10T21:48:27Z</dcterms:modified>
</cp:coreProperties>
</file>